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3" documentId="8_{1B11AB17-5134-471B-B18D-993459F7B3FE}" xr6:coauthVersionLast="47" xr6:coauthVersionMax="47" xr10:uidLastSave="{EE5F47DF-106A-4B2E-A101-CBEED57D2FA6}"/>
  <bookViews>
    <workbookView minimized="1" xWindow="2760" yWindow="1896" windowWidth="17280" windowHeight="8880" xr2:uid="{2E08E2C7-7995-4DF6-ACB2-61E03549A255}"/>
  </bookViews>
  <sheets>
    <sheet name="EHLANZE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6" i="1" l="1" a="1"/>
  <c r="Z6" i="1" s="1"/>
  <c r="C155" i="1"/>
  <c r="B155" i="1"/>
  <c r="B156" i="1" s="1"/>
  <c r="B148" i="1"/>
  <c r="U141" i="1"/>
  <c r="Q141" i="1"/>
  <c r="W140" i="1"/>
  <c r="V140" i="1"/>
  <c r="U140" i="1"/>
  <c r="T140" i="1"/>
  <c r="S140" i="1"/>
  <c r="R140" i="1"/>
  <c r="Q140" i="1"/>
  <c r="P140" i="1"/>
  <c r="O140" i="1"/>
  <c r="N140" i="1"/>
  <c r="N141" i="1" s="1"/>
  <c r="M140" i="1"/>
  <c r="L140" i="1"/>
  <c r="K140" i="1"/>
  <c r="J140" i="1"/>
  <c r="K14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<sst xmlns="http://schemas.openxmlformats.org/spreadsheetml/2006/main" count="1137" uniqueCount="398">
  <si>
    <t>CONSOLIDATED</t>
  </si>
  <si>
    <r>
      <t xml:space="preserve">ACCIDENT REPORT:  </t>
    </r>
    <r>
      <rPr>
        <b/>
        <sz val="10"/>
        <color rgb="FFFF0000"/>
        <rFont val="Arial"/>
        <family val="2"/>
      </rPr>
      <t xml:space="preserve"> 01 - 31 MAY 2026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</si>
  <si>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</si>
  <si>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</si>
  <si>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</si>
  <si>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</si>
  <si>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</si>
  <si>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</si>
  <si>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</si>
  <si>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</si>
  <si>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</si>
  <si>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</si>
  <si>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</si>
  <si>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</si>
  <si>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</si>
  <si>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</si>
  <si>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</si>
  <si>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</si>
  <si>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</si>
  <si>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</si>
  <si>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</si>
  <si>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</si>
  <si>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</si>
  <si>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</si>
  <si>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</si>
  <si>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</si>
  <si>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</si>
  <si>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</si>
  <si>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</si>
  <si>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BARBERTON</t>
  </si>
  <si>
    <t>10/05</t>
  </si>
  <si>
    <t>SU</t>
  </si>
  <si>
    <t>14H00</t>
  </si>
  <si>
    <t>MUN</t>
  </si>
  <si>
    <t>EXT 14 MAIN ROAD</t>
  </si>
  <si>
    <t>PEDESTRIAN</t>
  </si>
  <si>
    <t>P/D / SED</t>
  </si>
  <si>
    <t>23</t>
  </si>
  <si>
    <t>21/05</t>
  </si>
  <si>
    <t>TH</t>
  </si>
  <si>
    <t>12H30</t>
  </si>
  <si>
    <t xml:space="preserve">EXT 12  NEAR KA-CHUNDA </t>
  </si>
  <si>
    <t xml:space="preserve">PEDESTRIAN </t>
  </si>
  <si>
    <t xml:space="preserve">P/D / SED </t>
  </si>
  <si>
    <t xml:space="preserve">BARBERTON </t>
  </si>
  <si>
    <t>16/05</t>
  </si>
  <si>
    <t>SA</t>
  </si>
  <si>
    <t>18H00</t>
  </si>
  <si>
    <t>D236</t>
  </si>
  <si>
    <t>PRISON FARM ROAD</t>
  </si>
  <si>
    <t>SIDE SWIPE</t>
  </si>
  <si>
    <t xml:space="preserve">LDV / SED </t>
  </si>
  <si>
    <t>11</t>
  </si>
  <si>
    <t>140/05/2026</t>
  </si>
  <si>
    <t>09/05</t>
  </si>
  <si>
    <t>16H20</t>
  </si>
  <si>
    <t xml:space="preserve">DINDELA NEAR ROCKAFELLA </t>
  </si>
  <si>
    <t xml:space="preserve">P/D / TAXI </t>
  </si>
  <si>
    <t>16</t>
  </si>
  <si>
    <t>193/05/2026</t>
  </si>
  <si>
    <t>1605</t>
  </si>
  <si>
    <t>20H30</t>
  </si>
  <si>
    <t xml:space="preserve">R38 </t>
  </si>
  <si>
    <t>KAAPMUIDEN NEAR KA-THOKOZA</t>
  </si>
  <si>
    <t>HEAD ON</t>
  </si>
  <si>
    <t>SED /SED</t>
  </si>
  <si>
    <t>KAAPMUIDEN</t>
  </si>
  <si>
    <t>06/05/2026</t>
  </si>
  <si>
    <t>18H20</t>
  </si>
  <si>
    <t>N4</t>
  </si>
  <si>
    <t>KAAPMUIDEN TO TOWN ROAD</t>
  </si>
  <si>
    <t>PD / LDV</t>
  </si>
  <si>
    <t>KABOKWENI</t>
  </si>
  <si>
    <t>33/05/2026</t>
  </si>
  <si>
    <t>02/05</t>
  </si>
  <si>
    <t>21H00</t>
  </si>
  <si>
    <t>MANYEVENI MAIN ROAD</t>
  </si>
  <si>
    <t>08/05</t>
  </si>
  <si>
    <t>FR</t>
  </si>
  <si>
    <t>17H10</t>
  </si>
  <si>
    <t>D2689</t>
  </si>
  <si>
    <t>KABOKWENI MAIN ROAD</t>
  </si>
  <si>
    <t>16H10</t>
  </si>
  <si>
    <t>12/05</t>
  </si>
  <si>
    <t>TU</t>
  </si>
  <si>
    <t>17H30</t>
  </si>
  <si>
    <t>MAFAMBISA MAIN ROAD</t>
  </si>
  <si>
    <t>17/05</t>
  </si>
  <si>
    <t>21H55</t>
  </si>
  <si>
    <t>D1411</t>
  </si>
  <si>
    <t>BHUGA MAIN ROAD</t>
  </si>
  <si>
    <t>HEAD REAR</t>
  </si>
  <si>
    <t>SED / SED</t>
  </si>
  <si>
    <t>24/05</t>
  </si>
  <si>
    <t>PLINGO RD</t>
  </si>
  <si>
    <t>02H00</t>
  </si>
  <si>
    <t>KABOKWENI NEXT TO COURT</t>
  </si>
  <si>
    <t>13H00</t>
  </si>
  <si>
    <t xml:space="preserve">MUN </t>
  </si>
  <si>
    <t>KABOKWENI COMPLEX</t>
  </si>
  <si>
    <t>25/05</t>
  </si>
  <si>
    <t>14H30</t>
  </si>
  <si>
    <t>MBONISWENI TRUST</t>
  </si>
  <si>
    <t>P/D / TAXI</t>
  </si>
  <si>
    <t>23/05</t>
  </si>
  <si>
    <t>05H30</t>
  </si>
  <si>
    <t>MALEKUTU MAIN ROAD</t>
  </si>
  <si>
    <t xml:space="preserve">P/D / LDV </t>
  </si>
  <si>
    <t>1</t>
  </si>
  <si>
    <t>07H50</t>
  </si>
  <si>
    <t>23H00</t>
  </si>
  <si>
    <t>P258/1</t>
  </si>
  <si>
    <t>NEWSKOM MAIN ROAD</t>
  </si>
  <si>
    <t xml:space="preserve">P/D / UNKNOWN </t>
  </si>
  <si>
    <t>KAMHLUSHWA</t>
  </si>
  <si>
    <t>07</t>
  </si>
  <si>
    <t>20/05</t>
  </si>
  <si>
    <t>W</t>
  </si>
  <si>
    <t>06H30</t>
  </si>
  <si>
    <t>KANYAMAZANE</t>
  </si>
  <si>
    <t>14H20</t>
  </si>
  <si>
    <t>DR EJ MABUZA STREET</t>
  </si>
  <si>
    <t>103/05/2026</t>
  </si>
  <si>
    <t>06H25</t>
  </si>
  <si>
    <t>D2296</t>
  </si>
  <si>
    <t>LEGOGOTE ROAD</t>
  </si>
  <si>
    <t xml:space="preserve">TAXI / SED </t>
  </si>
  <si>
    <t>27/05</t>
  </si>
  <si>
    <t>17H45</t>
  </si>
  <si>
    <t>19H30</t>
  </si>
  <si>
    <t>CHRIS HANI DRIVE</t>
  </si>
  <si>
    <t>LOST CONTROL</t>
  </si>
  <si>
    <t>SED</t>
  </si>
  <si>
    <t>30/05</t>
  </si>
  <si>
    <t>21H40</t>
  </si>
  <si>
    <t xml:space="preserve">SUV / SED </t>
  </si>
  <si>
    <t>31/05</t>
  </si>
  <si>
    <t>KOMATIPOORT</t>
  </si>
  <si>
    <t>15H15</t>
  </si>
  <si>
    <t>56.8E KM PIN</t>
  </si>
  <si>
    <t xml:space="preserve">LOST CONTROL </t>
  </si>
  <si>
    <t xml:space="preserve">SED </t>
  </si>
  <si>
    <t>18/05</t>
  </si>
  <si>
    <t>05H20</t>
  </si>
  <si>
    <t>R571</t>
  </si>
  <si>
    <t>56,2N KM PIN</t>
  </si>
  <si>
    <t xml:space="preserve">HEAD REAR </t>
  </si>
  <si>
    <t>09H24</t>
  </si>
  <si>
    <t>D1837</t>
  </si>
  <si>
    <t>GRIMMAN FARM</t>
  </si>
  <si>
    <t>LDV</t>
  </si>
  <si>
    <t>19/05</t>
  </si>
  <si>
    <t>BP GARAGE</t>
  </si>
  <si>
    <t>P/D / ART</t>
  </si>
  <si>
    <t>29/05</t>
  </si>
  <si>
    <t>11H50</t>
  </si>
  <si>
    <t>ENGEN GARAGE</t>
  </si>
  <si>
    <t>ART / SED</t>
  </si>
  <si>
    <t>16H00</t>
  </si>
  <si>
    <t>69.2 E KM PIN</t>
  </si>
  <si>
    <t xml:space="preserve">KOMATIPOORT </t>
  </si>
  <si>
    <t>03H00</t>
  </si>
  <si>
    <t xml:space="preserve">HECTORSPRUIT </t>
  </si>
  <si>
    <t xml:space="preserve">51.8 E KM PIN </t>
  </si>
  <si>
    <t>11/05</t>
  </si>
  <si>
    <t>01H50</t>
  </si>
  <si>
    <t>TENBOSCH</t>
  </si>
  <si>
    <t xml:space="preserve">LOWS CREEK </t>
  </si>
  <si>
    <t>03</t>
  </si>
  <si>
    <t>11H00</t>
  </si>
  <si>
    <t>SHEBA SIDING TURN OFF</t>
  </si>
  <si>
    <t>LDV / SED</t>
  </si>
  <si>
    <t>04</t>
  </si>
  <si>
    <t>18H30</t>
  </si>
  <si>
    <t>R38</t>
  </si>
  <si>
    <t>LOWS CREEK MAIN ROAD</t>
  </si>
  <si>
    <t>MALALANE</t>
  </si>
  <si>
    <t>28/05/2026</t>
  </si>
  <si>
    <t>15/05</t>
  </si>
  <si>
    <t>06H48</t>
  </si>
  <si>
    <t>TSB CROSSING</t>
  </si>
  <si>
    <t>ART / SUV / SED</t>
  </si>
  <si>
    <t>MALELANE NEAR ESKOM</t>
  </si>
  <si>
    <t>MASOYI</t>
  </si>
  <si>
    <t>22/05/2026</t>
  </si>
  <si>
    <t>03/05</t>
  </si>
  <si>
    <t>07H00</t>
  </si>
  <si>
    <t>SALUBINDZA MAIN ROAD</t>
  </si>
  <si>
    <t>05/05</t>
  </si>
  <si>
    <t>18H40</t>
  </si>
  <si>
    <t>SWALALA MAIN ROAD</t>
  </si>
  <si>
    <t>21H41</t>
  </si>
  <si>
    <t>MAHUSHU MAIN ROAD</t>
  </si>
  <si>
    <t>TAXI / LDV</t>
  </si>
  <si>
    <t>11H45</t>
  </si>
  <si>
    <t>07H45</t>
  </si>
  <si>
    <t>NUMBI MAIN ROAD</t>
  </si>
  <si>
    <t xml:space="preserve">FIXED OBJECT </t>
  </si>
  <si>
    <t>BUS</t>
  </si>
  <si>
    <t>17H20</t>
  </si>
  <si>
    <t>R569</t>
  </si>
  <si>
    <t xml:space="preserve">NUMBI MAIN RD </t>
  </si>
  <si>
    <t>26/05</t>
  </si>
  <si>
    <t>06H35</t>
  </si>
  <si>
    <t>R538</t>
  </si>
  <si>
    <t>MAHUSHU MAIN RD</t>
  </si>
  <si>
    <t xml:space="preserve">OVERTURNED </t>
  </si>
  <si>
    <t>11/05/2026</t>
  </si>
  <si>
    <t>14H15</t>
  </si>
  <si>
    <t>OVERTURNED</t>
  </si>
  <si>
    <t>MATSULU</t>
  </si>
  <si>
    <t>10H00</t>
  </si>
  <si>
    <t>GORGE</t>
  </si>
  <si>
    <t xml:space="preserve">SED / SED </t>
  </si>
  <si>
    <t>10H17</t>
  </si>
  <si>
    <t>SINATOR STREET</t>
  </si>
  <si>
    <t xml:space="preserve">P/D / SUV </t>
  </si>
  <si>
    <t>SIMUNYE STREET</t>
  </si>
  <si>
    <t xml:space="preserve">P/D / SED / SED </t>
  </si>
  <si>
    <t>12H00</t>
  </si>
  <si>
    <t>MADIBA DRVE</t>
  </si>
  <si>
    <t>MADIBA DRIVE</t>
  </si>
  <si>
    <t>14H14</t>
  </si>
  <si>
    <t>LIGIBHOLI ROAD</t>
  </si>
  <si>
    <t>EMFULENI ROAD</t>
  </si>
  <si>
    <t>14H10</t>
  </si>
  <si>
    <t>LIGIBHOLI STREET</t>
  </si>
  <si>
    <t>08H00</t>
  </si>
  <si>
    <t>21H20</t>
  </si>
  <si>
    <t>FLEET STREET</t>
  </si>
  <si>
    <t>VEMILION STREET</t>
  </si>
  <si>
    <t xml:space="preserve">MBUZINI </t>
  </si>
  <si>
    <t>09H30</t>
  </si>
  <si>
    <t>D2950</t>
  </si>
  <si>
    <t xml:space="preserve">MBANGWANE </t>
  </si>
  <si>
    <t xml:space="preserve">FELL OFF VEH </t>
  </si>
  <si>
    <t xml:space="preserve">LDV </t>
  </si>
  <si>
    <t>NELSPRUIT</t>
  </si>
  <si>
    <t>06H10</t>
  </si>
  <si>
    <t>N4 NEAR CAIRN</t>
  </si>
  <si>
    <t>TAXI</t>
  </si>
  <si>
    <t>22H30</t>
  </si>
  <si>
    <t>D725</t>
  </si>
  <si>
    <t>UNIVERSITY ROAD</t>
  </si>
  <si>
    <t>15H40</t>
  </si>
  <si>
    <t>KAMAGUGU ROAD</t>
  </si>
  <si>
    <t>04/05</t>
  </si>
  <si>
    <t>10H30</t>
  </si>
  <si>
    <t>MURRAY STREET</t>
  </si>
  <si>
    <t>M/C / LDV</t>
  </si>
  <si>
    <t>19H00</t>
  </si>
  <si>
    <t>R40</t>
  </si>
  <si>
    <t xml:space="preserve">TAXI / SUV </t>
  </si>
  <si>
    <t>03H30</t>
  </si>
  <si>
    <t>SUDWALA TURN</t>
  </si>
  <si>
    <t>KIAAT INTERSECTION</t>
  </si>
  <si>
    <t>13H20</t>
  </si>
  <si>
    <t>BRITS STREET</t>
  </si>
  <si>
    <t>RIVERSIDE INDUSTRIAL</t>
  </si>
  <si>
    <t>17H15</t>
  </si>
  <si>
    <t>151/05/2026</t>
  </si>
  <si>
    <t>19H15</t>
  </si>
  <si>
    <t>OLD PRETORIA ROAD</t>
  </si>
  <si>
    <t>00H10</t>
  </si>
  <si>
    <t>SAMORA MACHEL DRIVE</t>
  </si>
  <si>
    <t>15H30</t>
  </si>
  <si>
    <t xml:space="preserve">M/C / LDV </t>
  </si>
  <si>
    <t>MATAFFIN</t>
  </si>
  <si>
    <t xml:space="preserve">M/C / SED </t>
  </si>
  <si>
    <t>BELFAST</t>
  </si>
  <si>
    <t>BARBERTON ROAD</t>
  </si>
  <si>
    <t>13/05</t>
  </si>
  <si>
    <t>07H29</t>
  </si>
  <si>
    <t>HALLSANOER CRESENT</t>
  </si>
  <si>
    <t xml:space="preserve">LDV / LDV </t>
  </si>
  <si>
    <t>16H04</t>
  </si>
  <si>
    <t>11H17</t>
  </si>
  <si>
    <t>ENOS MABUZA DRIVE</t>
  </si>
  <si>
    <t xml:space="preserve">TAXI / LDV </t>
  </si>
  <si>
    <t>R537</t>
  </si>
  <si>
    <t>SABIE ROAD</t>
  </si>
  <si>
    <t>21H10</t>
  </si>
  <si>
    <t>05H35</t>
  </si>
  <si>
    <t>HEYNEKE STREET</t>
  </si>
  <si>
    <t>20H00</t>
  </si>
  <si>
    <t>SCHAGEN</t>
  </si>
  <si>
    <t>ART</t>
  </si>
  <si>
    <t>20H08</t>
  </si>
  <si>
    <t>NGODWANA</t>
  </si>
  <si>
    <t>22/05</t>
  </si>
  <si>
    <t>15H08</t>
  </si>
  <si>
    <t>BROWN STREET</t>
  </si>
  <si>
    <t>FIXED OBJECT</t>
  </si>
  <si>
    <t>18H15</t>
  </si>
  <si>
    <t>PIET RETIEF STREET</t>
  </si>
  <si>
    <t>11H15</t>
  </si>
  <si>
    <t>GEORGE STREET</t>
  </si>
  <si>
    <t xml:space="preserve">SUV / SUV </t>
  </si>
  <si>
    <t>19H50</t>
  </si>
  <si>
    <t>DE KOCK STREET</t>
  </si>
  <si>
    <t>PLASTON ROAD</t>
  </si>
  <si>
    <t>SUV / SUV / SED</t>
  </si>
  <si>
    <t>HILLTOP</t>
  </si>
  <si>
    <t>SUV</t>
  </si>
  <si>
    <t>10H02</t>
  </si>
  <si>
    <t xml:space="preserve">P/D / ART </t>
  </si>
  <si>
    <t xml:space="preserve">M/C / SUV </t>
  </si>
  <si>
    <t>01/05</t>
  </si>
  <si>
    <t>08H59</t>
  </si>
  <si>
    <t>HENSHALL STREET</t>
  </si>
  <si>
    <t>SUV / SED</t>
  </si>
  <si>
    <t>02H30</t>
  </si>
  <si>
    <t>16H15</t>
  </si>
  <si>
    <t>BUS / SUV</t>
  </si>
  <si>
    <t>17H50</t>
  </si>
  <si>
    <t>LDV / SED / SED</t>
  </si>
  <si>
    <t>16H30</t>
  </si>
  <si>
    <t xml:space="preserve">ART / TAXI </t>
  </si>
  <si>
    <t>SCHOEMANSKLOOF ROAD</t>
  </si>
  <si>
    <t>09H15</t>
  </si>
  <si>
    <t>ELANDSHOEH</t>
  </si>
  <si>
    <t>ART / SED / SED</t>
  </si>
  <si>
    <t>PIENAAR</t>
  </si>
  <si>
    <t>THEKWANE NORTH ROAD</t>
  </si>
  <si>
    <t xml:space="preserve">HEAD ON </t>
  </si>
  <si>
    <t>SCHOEMANSDAL</t>
  </si>
  <si>
    <t>05H45</t>
  </si>
  <si>
    <t>R570</t>
  </si>
  <si>
    <t>BUFFELSPRUIT NEAR PHUZULWAZI</t>
  </si>
  <si>
    <t>21H30</t>
  </si>
  <si>
    <t>SCHOEMANSDAL NEAR SAMSOL HOUSE</t>
  </si>
  <si>
    <t>D2944</t>
  </si>
  <si>
    <t>ANIVA</t>
  </si>
  <si>
    <t>08H30</t>
  </si>
  <si>
    <t xml:space="preserve">NEXT TO BUSCOR DEPOT </t>
  </si>
  <si>
    <t>110/05/2026</t>
  </si>
  <si>
    <t>BOSCH FONTEIN</t>
  </si>
  <si>
    <t>13</t>
  </si>
  <si>
    <t>06H20</t>
  </si>
  <si>
    <t>SCHOEMANSDAL NEXT TO MAPHOLOBA SUPERMARKET</t>
  </si>
  <si>
    <t xml:space="preserve">TAXI </t>
  </si>
  <si>
    <t>TONGA</t>
  </si>
  <si>
    <t>07/05</t>
  </si>
  <si>
    <t>NAAS</t>
  </si>
  <si>
    <t>BLOCK C</t>
  </si>
  <si>
    <t>R581/1</t>
  </si>
  <si>
    <t>MANTI</t>
  </si>
  <si>
    <t>M/C / TAXI</t>
  </si>
  <si>
    <t>07H06</t>
  </si>
  <si>
    <t xml:space="preserve">MZINTI </t>
  </si>
  <si>
    <t>05H50</t>
  </si>
  <si>
    <t>D797</t>
  </si>
  <si>
    <t>MGWENYENI</t>
  </si>
  <si>
    <t>BLOCK A</t>
  </si>
  <si>
    <t xml:space="preserve">TONGA </t>
  </si>
  <si>
    <t>TONGA MALL</t>
  </si>
  <si>
    <t xml:space="preserve">NAAS </t>
  </si>
  <si>
    <t>01</t>
  </si>
  <si>
    <t>16H45</t>
  </si>
  <si>
    <t>05</t>
  </si>
  <si>
    <t>14H50</t>
  </si>
  <si>
    <t>BLOCK B</t>
  </si>
  <si>
    <t>P/D / LDV</t>
  </si>
  <si>
    <t>06</t>
  </si>
  <si>
    <t>MZINTI</t>
  </si>
  <si>
    <t>WHITE RIVER</t>
  </si>
  <si>
    <t>15H00</t>
  </si>
  <si>
    <t>R40 ROAD</t>
  </si>
  <si>
    <t>11H30</t>
  </si>
  <si>
    <t>THEO KLEINHANS STREET</t>
  </si>
  <si>
    <t>07H15</t>
  </si>
  <si>
    <t>NSUMBENI MAIN ROAD</t>
  </si>
  <si>
    <t xml:space="preserve">MSHOLOZI TURN </t>
  </si>
  <si>
    <t>15H10</t>
  </si>
  <si>
    <t xml:space="preserve">CITRUS AVENUE </t>
  </si>
  <si>
    <t>R40 AND PLASTON ROAD</t>
  </si>
  <si>
    <t>OLD PLASTON ROAD</t>
  </si>
  <si>
    <t>18H50</t>
  </si>
  <si>
    <t>CASTER BRIDGE CIRCLE</t>
  </si>
  <si>
    <t xml:space="preserve"> </t>
  </si>
  <si>
    <t>TOTAL</t>
  </si>
  <si>
    <t>TOTAL:      214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</si>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</sst>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color indexed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</cellStyleXfs>
  <cellXfs count="482">
    <xf numFmtId="0" fontId="0" fillId="0" borderId="0" xfId="0"/>
    <xf numFmtId="0" fontId="2" fillId="0" borderId="0" xfId="1"/>
    <xf numFmtId="0" fontId="4" fillId="5" borderId="0" xfId="1" applyFont="1" applyFill="1" applyAlignment="1">
      <alignment horizontal="left"/>
    </xf>
    <xf numFmtId="0" fontId="6" fillId="0" borderId="0" xfId="1" applyFont="1"/>
    <xf numFmtId="0" fontId="6" fillId="0" borderId="4" xfId="1" applyFont="1" applyBorder="1"/>
    <xf numFmtId="0" fontId="6" fillId="0" borderId="5" xfId="1" applyFont="1" applyBorder="1"/>
    <xf numFmtId="0" fontId="7" fillId="7" borderId="2" xfId="1" applyFont="1" applyFill="1" applyBorder="1"/>
    <xf numFmtId="0" fontId="7" fillId="7" borderId="1" xfId="1" applyFont="1" applyFill="1" applyBorder="1"/>
    <xf numFmtId="0" fontId="7" fillId="7" borderId="3" xfId="1" applyFont="1" applyFill="1" applyBorder="1"/>
    <xf numFmtId="0" fontId="7" fillId="0" borderId="5" xfId="1" applyFont="1" applyBorder="1"/>
    <xf numFmtId="0" fontId="6" fillId="0" borderId="6" xfId="1" applyFont="1" applyBorder="1"/>
    <xf numFmtId="0" fontId="6" fillId="0" borderId="7" xfId="1" applyFont="1" applyBorder="1"/>
    <xf numFmtId="0" fontId="6" fillId="0" borderId="8" xfId="1" applyFont="1" applyBorder="1"/>
    <xf numFmtId="0" fontId="7" fillId="0" borderId="9" xfId="1" applyFont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9" borderId="4" xfId="1" applyFont="1" applyFill="1" applyBorder="1"/>
    <xf numFmtId="0" fontId="7" fillId="9" borderId="11" xfId="1" applyFont="1" applyFill="1" applyBorder="1"/>
    <xf numFmtId="0" fontId="7" fillId="10" borderId="3" xfId="1" applyFont="1" applyFill="1" applyBorder="1" applyAlignment="1">
      <alignment horizontal="center"/>
    </xf>
    <xf numFmtId="0" fontId="7" fillId="11" borderId="11" xfId="1" applyFont="1" applyFill="1" applyBorder="1"/>
    <xf numFmtId="0" fontId="7" fillId="11" borderId="12" xfId="1" applyFont="1" applyFill="1" applyBorder="1"/>
    <xf numFmtId="0" fontId="7" fillId="12" borderId="11" xfId="1" applyFont="1" applyFill="1" applyBorder="1"/>
    <xf numFmtId="0" fontId="7" fillId="3" borderId="10" xfId="1" applyFont="1" applyFill="1" applyBorder="1" applyAlignment="1">
      <alignment horizontal="center"/>
    </xf>
    <xf numFmtId="0" fontId="7" fillId="3" borderId="1" xfId="1" quotePrefix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0" fontId="7" fillId="10" borderId="10" xfId="1" applyFont="1" applyFill="1" applyBorder="1" applyAlignment="1">
      <alignment horizontal="center"/>
    </xf>
    <xf numFmtId="0" fontId="7" fillId="13" borderId="3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7" fillId="14" borderId="3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8" fillId="0" borderId="13" xfId="1" applyFont="1" applyBorder="1"/>
    <xf numFmtId="0" fontId="8" fillId="0" borderId="14" xfId="1" quotePrefix="1" applyFont="1" applyBorder="1" applyAlignment="1">
      <alignment horizontal="center"/>
    </xf>
    <xf numFmtId="0" fontId="9" fillId="0" borderId="15" xfId="1" quotePrefix="1" applyFont="1" applyBorder="1" applyAlignment="1">
      <alignment horizontal="center"/>
    </xf>
    <xf numFmtId="0" fontId="9" fillId="0" borderId="14" xfId="1" quotePrefix="1" applyFont="1" applyBorder="1" applyAlignment="1">
      <alignment horizontal="center"/>
    </xf>
    <xf numFmtId="16" fontId="8" fillId="0" borderId="14" xfId="1" quotePrefix="1" applyNumberFormat="1" applyFont="1" applyBorder="1" applyAlignment="1">
      <alignment horizontal="center"/>
    </xf>
    <xf numFmtId="20" fontId="8" fillId="0" borderId="14" xfId="1" quotePrefix="1" applyNumberFormat="1" applyFont="1" applyBorder="1" applyAlignment="1">
      <alignment horizontal="center"/>
    </xf>
    <xf numFmtId="164" fontId="6" fillId="0" borderId="16" xfId="1" quotePrefix="1" applyNumberFormat="1" applyFont="1" applyBorder="1" applyAlignment="1">
      <alignment horizontal="left"/>
    </xf>
    <xf numFmtId="0" fontId="6" fillId="0" borderId="17" xfId="1" applyFont="1" applyBorder="1" applyAlignment="1">
      <alignment horizontal="left"/>
    </xf>
    <xf numFmtId="0" fontId="9" fillId="5" borderId="17" xfId="1" applyFont="1" applyFill="1" applyBorder="1" applyAlignment="1">
      <alignment horizontal="left"/>
    </xf>
    <xf numFmtId="0" fontId="10" fillId="0" borderId="18" xfId="1" applyFont="1" applyBorder="1" applyAlignment="1">
      <alignment horizontal="center"/>
    </xf>
    <xf numFmtId="0" fontId="10" fillId="0" borderId="14" xfId="1" applyFont="1" applyBorder="1" applyAlignment="1">
      <alignment horizontal="center"/>
    </xf>
    <xf numFmtId="0" fontId="10" fillId="0" borderId="16" xfId="1" applyFont="1" applyBorder="1" applyAlignment="1">
      <alignment horizontal="center"/>
    </xf>
    <xf numFmtId="0" fontId="10" fillId="0" borderId="13" xfId="1" applyFont="1" applyBorder="1" applyAlignment="1">
      <alignment horizontal="center"/>
    </xf>
    <xf numFmtId="0" fontId="10" fillId="0" borderId="19" xfId="1" applyFont="1" applyBorder="1" applyAlignment="1">
      <alignment horizontal="center"/>
    </xf>
    <xf numFmtId="0" fontId="10" fillId="0" borderId="20" xfId="1" applyFont="1" applyBorder="1" applyAlignment="1">
      <alignment horizontal="center"/>
    </xf>
    <xf numFmtId="0" fontId="8" fillId="0" borderId="17" xfId="1" applyFont="1" applyBorder="1"/>
    <xf numFmtId="0" fontId="11" fillId="0" borderId="0" xfId="1" applyFont="1"/>
    <xf numFmtId="0" fontId="12" fillId="0" borderId="0" xfId="1" applyFont="1"/>
    <xf numFmtId="0" fontId="8" fillId="0" borderId="13" xfId="2" applyFont="1" applyBorder="1"/>
    <xf numFmtId="0" fontId="8" fillId="0" borderId="14" xfId="2" quotePrefix="1" applyFont="1" applyBorder="1" applyAlignment="1">
      <alignment horizontal="center"/>
    </xf>
    <xf numFmtId="20" fontId="6" fillId="0" borderId="14" xfId="1" quotePrefix="1" applyNumberFormat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164" fontId="6" fillId="0" borderId="19" xfId="1" quotePrefix="1" applyNumberFormat="1" applyFont="1" applyBorder="1" applyAlignment="1">
      <alignment horizontal="left"/>
    </xf>
    <xf numFmtId="164" fontId="6" fillId="0" borderId="18" xfId="1" applyNumberFormat="1" applyFont="1" applyBorder="1" applyAlignment="1">
      <alignment horizontal="left"/>
    </xf>
    <xf numFmtId="0" fontId="7" fillId="0" borderId="20" xfId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7" fillId="0" borderId="13" xfId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20" fontId="6" fillId="0" borderId="15" xfId="1" quotePrefix="1" applyNumberFormat="1" applyFont="1" applyBorder="1" applyAlignment="1">
      <alignment horizontal="center"/>
    </xf>
    <xf numFmtId="0" fontId="6" fillId="0" borderId="21" xfId="1" applyFont="1" applyBorder="1"/>
    <xf numFmtId="0" fontId="7" fillId="0" borderId="22" xfId="1" applyFont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7" fillId="0" borderId="24" xfId="1" applyFont="1" applyBorder="1" applyAlignment="1">
      <alignment horizontal="center"/>
    </xf>
    <xf numFmtId="0" fontId="7" fillId="0" borderId="25" xfId="1" applyFont="1" applyBorder="1" applyAlignment="1">
      <alignment horizontal="center"/>
    </xf>
    <xf numFmtId="0" fontId="6" fillId="0" borderId="21" xfId="1" applyFont="1" applyBorder="1" applyAlignment="1">
      <alignment horizontal="left"/>
    </xf>
    <xf numFmtId="16" fontId="13" fillId="5" borderId="14" xfId="1" quotePrefix="1" applyNumberFormat="1" applyFont="1" applyFill="1" applyBorder="1" applyAlignment="1">
      <alignment horizontal="center"/>
    </xf>
    <xf numFmtId="16" fontId="6" fillId="0" borderId="14" xfId="1" quotePrefix="1" applyNumberFormat="1" applyFont="1" applyBorder="1" applyAlignment="1">
      <alignment horizontal="center"/>
    </xf>
    <xf numFmtId="164" fontId="6" fillId="0" borderId="26" xfId="1" applyNumberFormat="1" applyFont="1" applyBorder="1" applyAlignment="1">
      <alignment horizontal="left"/>
    </xf>
    <xf numFmtId="0" fontId="7" fillId="0" borderId="18" xfId="1" applyFont="1" applyBorder="1" applyAlignment="1">
      <alignment horizontal="center"/>
    </xf>
    <xf numFmtId="0" fontId="10" fillId="0" borderId="13" xfId="3" applyFont="1" applyBorder="1" applyAlignment="1">
      <alignment horizontal="center"/>
    </xf>
    <xf numFmtId="0" fontId="10" fillId="0" borderId="14" xfId="3" applyFont="1" applyBorder="1" applyAlignment="1">
      <alignment horizontal="center"/>
    </xf>
    <xf numFmtId="16" fontId="13" fillId="5" borderId="15" xfId="1" quotePrefix="1" applyNumberFormat="1" applyFont="1" applyFill="1" applyBorder="1" applyAlignment="1">
      <alignment horizontal="center"/>
    </xf>
    <xf numFmtId="0" fontId="14" fillId="0" borderId="24" xfId="1" applyFont="1" applyBorder="1" applyAlignment="1">
      <alignment horizontal="center"/>
    </xf>
    <xf numFmtId="0" fontId="14" fillId="0" borderId="15" xfId="1" applyFont="1" applyBorder="1" applyAlignment="1">
      <alignment horizontal="center"/>
    </xf>
    <xf numFmtId="0" fontId="9" fillId="0" borderId="13" xfId="4" applyFont="1" applyBorder="1"/>
    <xf numFmtId="0" fontId="8" fillId="0" borderId="27" xfId="1" applyFont="1" applyBorder="1" applyAlignment="1">
      <alignment horizontal="center"/>
    </xf>
    <xf numFmtId="16" fontId="13" fillId="5" borderId="27" xfId="1" quotePrefix="1" applyNumberFormat="1" applyFont="1" applyFill="1" applyBorder="1" applyAlignment="1">
      <alignment horizontal="center"/>
    </xf>
    <xf numFmtId="49" fontId="8" fillId="5" borderId="27" xfId="5" applyNumberFormat="1" applyFont="1" applyFill="1" applyBorder="1" applyAlignment="1">
      <alignment horizontal="center"/>
    </xf>
    <xf numFmtId="0" fontId="6" fillId="0" borderId="27" xfId="1" applyFont="1" applyBorder="1" applyAlignment="1">
      <alignment horizontal="center"/>
    </xf>
    <xf numFmtId="20" fontId="8" fillId="0" borderId="27" xfId="1" applyNumberFormat="1" applyFont="1" applyBorder="1" applyAlignment="1">
      <alignment horizontal="center"/>
    </xf>
    <xf numFmtId="164" fontId="6" fillId="0" borderId="28" xfId="1" applyNumberFormat="1" applyFont="1" applyBorder="1" applyAlignment="1">
      <alignment horizontal="left"/>
    </xf>
    <xf numFmtId="0" fontId="9" fillId="0" borderId="29" xfId="1" applyFont="1" applyBorder="1"/>
    <xf numFmtId="0" fontId="6" fillId="0" borderId="17" xfId="1" applyFont="1" applyBorder="1"/>
    <xf numFmtId="0" fontId="10" fillId="0" borderId="29" xfId="1" applyFont="1" applyBorder="1" applyAlignment="1">
      <alignment horizontal="center"/>
    </xf>
    <xf numFmtId="0" fontId="10" fillId="0" borderId="30" xfId="1" applyFont="1" applyBorder="1" applyAlignment="1">
      <alignment horizontal="center"/>
    </xf>
    <xf numFmtId="0" fontId="10" fillId="0" borderId="31" xfId="1" applyFont="1" applyBorder="1" applyAlignment="1">
      <alignment horizontal="center"/>
    </xf>
    <xf numFmtId="0" fontId="10" fillId="0" borderId="32" xfId="1" applyFont="1" applyBorder="1" applyAlignment="1">
      <alignment horizontal="center"/>
    </xf>
    <xf numFmtId="0" fontId="10" fillId="0" borderId="27" xfId="1" applyFont="1" applyBorder="1" applyAlignment="1">
      <alignment horizontal="center"/>
    </xf>
    <xf numFmtId="0" fontId="10" fillId="0" borderId="28" xfId="1" applyFont="1" applyBorder="1" applyAlignment="1">
      <alignment horizontal="center"/>
    </xf>
    <xf numFmtId="0" fontId="9" fillId="0" borderId="33" xfId="1" applyFont="1" applyBorder="1"/>
    <xf numFmtId="0" fontId="9" fillId="0" borderId="13" xfId="1" applyFont="1" applyBorder="1"/>
    <xf numFmtId="0" fontId="9" fillId="5" borderId="27" xfId="1" quotePrefix="1" applyFont="1" applyFill="1" applyBorder="1" applyAlignment="1">
      <alignment horizontal="center"/>
    </xf>
    <xf numFmtId="16" fontId="13" fillId="0" borderId="27" xfId="1" quotePrefix="1" applyNumberFormat="1" applyFont="1" applyBorder="1" applyAlignment="1">
      <alignment horizontal="center"/>
    </xf>
    <xf numFmtId="16" fontId="9" fillId="5" borderId="27" xfId="1" quotePrefix="1" applyNumberFormat="1" applyFont="1" applyFill="1" applyBorder="1" applyAlignment="1">
      <alignment horizontal="center"/>
    </xf>
    <xf numFmtId="0" fontId="9" fillId="5" borderId="27" xfId="1" applyFont="1" applyFill="1" applyBorder="1" applyAlignment="1">
      <alignment horizontal="center"/>
    </xf>
    <xf numFmtId="16" fontId="9" fillId="5" borderId="27" xfId="1" applyNumberFormat="1" applyFont="1" applyFill="1" applyBorder="1" applyAlignment="1">
      <alignment horizontal="center"/>
    </xf>
    <xf numFmtId="165" fontId="9" fillId="5" borderId="28" xfId="1" applyNumberFormat="1" applyFont="1" applyFill="1" applyBorder="1" applyAlignment="1">
      <alignment horizontal="left"/>
    </xf>
    <xf numFmtId="0" fontId="9" fillId="5" borderId="29" xfId="1" applyFont="1" applyFill="1" applyBorder="1" applyAlignment="1">
      <alignment horizontal="left"/>
    </xf>
    <xf numFmtId="0" fontId="14" fillId="5" borderId="29" xfId="1" applyFont="1" applyFill="1" applyBorder="1" applyAlignment="1">
      <alignment horizontal="center"/>
    </xf>
    <xf numFmtId="0" fontId="14" fillId="5" borderId="14" xfId="1" applyFont="1" applyFill="1" applyBorder="1" applyAlignment="1">
      <alignment horizontal="center"/>
    </xf>
    <xf numFmtId="0" fontId="14" fillId="5" borderId="30" xfId="1" applyFont="1" applyFill="1" applyBorder="1" applyAlignment="1">
      <alignment horizontal="center"/>
    </xf>
    <xf numFmtId="0" fontId="14" fillId="5" borderId="31" xfId="1" applyFont="1" applyFill="1" applyBorder="1" applyAlignment="1">
      <alignment horizontal="center"/>
    </xf>
    <xf numFmtId="0" fontId="14" fillId="5" borderId="32" xfId="1" applyFont="1" applyFill="1" applyBorder="1" applyAlignment="1">
      <alignment horizontal="center"/>
    </xf>
    <xf numFmtId="0" fontId="14" fillId="5" borderId="27" xfId="1" applyFont="1" applyFill="1" applyBorder="1" applyAlignment="1">
      <alignment horizontal="center"/>
    </xf>
    <xf numFmtId="0" fontId="14" fillId="5" borderId="28" xfId="1" applyFont="1" applyFill="1" applyBorder="1" applyAlignment="1">
      <alignment horizontal="center"/>
    </xf>
    <xf numFmtId="0" fontId="9" fillId="5" borderId="33" xfId="1" applyFont="1" applyFill="1" applyBorder="1" applyAlignment="1">
      <alignment horizontal="left"/>
    </xf>
    <xf numFmtId="0" fontId="8" fillId="0" borderId="13" xfId="1" quotePrefix="1" applyFont="1" applyBorder="1"/>
    <xf numFmtId="0" fontId="8" fillId="0" borderId="27" xfId="1" quotePrefix="1" applyFont="1" applyBorder="1" applyAlignment="1">
      <alignment horizontal="center"/>
    </xf>
    <xf numFmtId="16" fontId="9" fillId="0" borderId="27" xfId="1" quotePrefix="1" applyNumberFormat="1" applyFont="1" applyBorder="1" applyAlignment="1">
      <alignment horizontal="center"/>
    </xf>
    <xf numFmtId="0" fontId="9" fillId="0" borderId="27" xfId="1" applyFont="1" applyBorder="1" applyAlignment="1">
      <alignment horizontal="center"/>
    </xf>
    <xf numFmtId="20" fontId="8" fillId="0" borderId="27" xfId="1" quotePrefix="1" applyNumberFormat="1" applyFont="1" applyBorder="1" applyAlignment="1">
      <alignment horizontal="center"/>
    </xf>
    <xf numFmtId="164" fontId="6" fillId="0" borderId="28" xfId="1" quotePrefix="1" applyNumberFormat="1" applyFont="1" applyBorder="1" applyAlignment="1">
      <alignment horizontal="left"/>
    </xf>
    <xf numFmtId="0" fontId="6" fillId="0" borderId="29" xfId="1" applyFont="1" applyBorder="1" applyAlignment="1">
      <alignment horizontal="left"/>
    </xf>
    <xf numFmtId="0" fontId="10" fillId="0" borderId="30" xfId="1" quotePrefix="1" applyFont="1" applyBorder="1" applyAlignment="1">
      <alignment horizontal="center"/>
    </xf>
    <xf numFmtId="0" fontId="10" fillId="0" borderId="27" xfId="1" quotePrefix="1" applyFont="1" applyBorder="1" applyAlignment="1">
      <alignment horizontal="center"/>
    </xf>
    <xf numFmtId="0" fontId="8" fillId="0" borderId="33" xfId="1" applyFont="1" applyBorder="1"/>
    <xf numFmtId="165" fontId="9" fillId="5" borderId="28" xfId="1" quotePrefix="1" applyNumberFormat="1" applyFont="1" applyFill="1" applyBorder="1" applyAlignment="1">
      <alignment horizontal="left"/>
    </xf>
    <xf numFmtId="0" fontId="9" fillId="5" borderId="13" xfId="1" applyFont="1" applyFill="1" applyBorder="1"/>
    <xf numFmtId="16" fontId="9" fillId="0" borderId="14" xfId="1" quotePrefix="1" applyNumberFormat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20" fontId="9" fillId="0" borderId="14" xfId="1" applyNumberFormat="1" applyFont="1" applyBorder="1" applyAlignment="1">
      <alignment horizontal="center"/>
    </xf>
    <xf numFmtId="165" fontId="9" fillId="0" borderId="19" xfId="1" applyNumberFormat="1" applyFont="1" applyBorder="1" applyAlignment="1">
      <alignment horizontal="left"/>
    </xf>
    <xf numFmtId="0" fontId="9" fillId="0" borderId="18" xfId="1" applyFont="1" applyBorder="1" applyAlignment="1">
      <alignment horizontal="left"/>
    </xf>
    <xf numFmtId="0" fontId="14" fillId="0" borderId="18" xfId="1" applyFont="1" applyBorder="1" applyAlignment="1">
      <alignment horizontal="center"/>
    </xf>
    <xf numFmtId="0" fontId="14" fillId="0" borderId="14" xfId="1" applyFont="1" applyBorder="1" applyAlignment="1">
      <alignment horizontal="center"/>
    </xf>
    <xf numFmtId="0" fontId="14" fillId="0" borderId="20" xfId="1" applyFont="1" applyBorder="1" applyAlignment="1">
      <alignment horizontal="center"/>
    </xf>
    <xf numFmtId="0" fontId="14" fillId="0" borderId="16" xfId="1" applyFont="1" applyBorder="1" applyAlignment="1">
      <alignment horizontal="center"/>
    </xf>
    <xf numFmtId="0" fontId="14" fillId="0" borderId="13" xfId="1" applyFont="1" applyBorder="1" applyAlignment="1">
      <alignment horizontal="center"/>
    </xf>
    <xf numFmtId="0" fontId="14" fillId="0" borderId="19" xfId="1" applyFont="1" applyBorder="1" applyAlignment="1">
      <alignment horizontal="center"/>
    </xf>
    <xf numFmtId="0" fontId="9" fillId="0" borderId="17" xfId="1" applyFont="1" applyBorder="1" applyAlignment="1">
      <alignment horizontal="left"/>
    </xf>
    <xf numFmtId="0" fontId="9" fillId="5" borderId="24" xfId="1" applyFont="1" applyFill="1" applyBorder="1"/>
    <xf numFmtId="0" fontId="9" fillId="0" borderId="15" xfId="1" applyFont="1" applyBorder="1" applyAlignment="1">
      <alignment horizontal="center"/>
    </xf>
    <xf numFmtId="16" fontId="8" fillId="0" borderId="15" xfId="2" quotePrefix="1" applyNumberFormat="1" applyFont="1" applyBorder="1" applyAlignment="1">
      <alignment horizontal="center"/>
    </xf>
    <xf numFmtId="0" fontId="8" fillId="0" borderId="15" xfId="2" applyFont="1" applyBorder="1" applyAlignment="1">
      <alignment horizontal="center"/>
    </xf>
    <xf numFmtId="20" fontId="9" fillId="0" borderId="15" xfId="1" applyNumberFormat="1" applyFont="1" applyBorder="1" applyAlignment="1">
      <alignment horizontal="center"/>
    </xf>
    <xf numFmtId="0" fontId="9" fillId="0" borderId="25" xfId="1" applyFont="1" applyBorder="1" applyAlignment="1">
      <alignment horizontal="left"/>
    </xf>
    <xf numFmtId="0" fontId="9" fillId="0" borderId="34" xfId="1" applyFont="1" applyBorder="1" applyAlignment="1">
      <alignment horizontal="left"/>
    </xf>
    <xf numFmtId="0" fontId="14" fillId="0" borderId="22" xfId="1" applyFont="1" applyBorder="1" applyAlignment="1">
      <alignment horizontal="center"/>
    </xf>
    <xf numFmtId="0" fontId="14" fillId="0" borderId="23" xfId="1" applyFont="1" applyBorder="1" applyAlignment="1">
      <alignment horizontal="center"/>
    </xf>
    <xf numFmtId="0" fontId="14" fillId="0" borderId="25" xfId="1" applyFont="1" applyBorder="1" applyAlignment="1">
      <alignment horizontal="center"/>
    </xf>
    <xf numFmtId="0" fontId="9" fillId="0" borderId="9" xfId="1" applyFont="1" applyBorder="1" applyAlignment="1">
      <alignment horizontal="left"/>
    </xf>
    <xf numFmtId="0" fontId="9" fillId="0" borderId="14" xfId="6" applyFont="1" applyBorder="1" applyAlignment="1">
      <alignment horizontal="center"/>
    </xf>
    <xf numFmtId="16" fontId="8" fillId="0" borderId="14" xfId="2" quotePrefix="1" applyNumberFormat="1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17" xfId="1" applyFont="1" applyBorder="1" applyAlignment="1">
      <alignment horizontal="left"/>
    </xf>
    <xf numFmtId="165" fontId="9" fillId="0" borderId="19" xfId="1" quotePrefix="1" applyNumberFormat="1" applyFont="1" applyBorder="1" applyAlignment="1">
      <alignment horizontal="left"/>
    </xf>
    <xf numFmtId="0" fontId="9" fillId="0" borderId="18" xfId="1" quotePrefix="1" applyFont="1" applyBorder="1" applyAlignment="1">
      <alignment horizontal="left"/>
    </xf>
    <xf numFmtId="16" fontId="9" fillId="5" borderId="14" xfId="1" quotePrefix="1" applyNumberFormat="1" applyFont="1" applyFill="1" applyBorder="1" applyAlignment="1">
      <alignment horizontal="center"/>
    </xf>
    <xf numFmtId="0" fontId="9" fillId="5" borderId="14" xfId="1" applyFont="1" applyFill="1" applyBorder="1" applyAlignment="1">
      <alignment horizontal="center"/>
    </xf>
    <xf numFmtId="20" fontId="9" fillId="5" borderId="14" xfId="1" applyNumberFormat="1" applyFont="1" applyFill="1" applyBorder="1" applyAlignment="1">
      <alignment horizontal="center"/>
    </xf>
    <xf numFmtId="0" fontId="9" fillId="5" borderId="18" xfId="1" applyFont="1" applyFill="1" applyBorder="1" applyAlignment="1">
      <alignment horizontal="left"/>
    </xf>
    <xf numFmtId="0" fontId="14" fillId="5" borderId="18" xfId="1" applyFont="1" applyFill="1" applyBorder="1" applyAlignment="1">
      <alignment horizontal="center"/>
    </xf>
    <xf numFmtId="0" fontId="14" fillId="5" borderId="16" xfId="1" applyFont="1" applyFill="1" applyBorder="1" applyAlignment="1">
      <alignment horizontal="center"/>
    </xf>
    <xf numFmtId="0" fontId="14" fillId="5" borderId="13" xfId="1" applyFont="1" applyFill="1" applyBorder="1" applyAlignment="1">
      <alignment horizontal="center"/>
    </xf>
    <xf numFmtId="0" fontId="14" fillId="5" borderId="19" xfId="1" applyFont="1" applyFill="1" applyBorder="1" applyAlignment="1">
      <alignment horizontal="center"/>
    </xf>
    <xf numFmtId="0" fontId="14" fillId="5" borderId="20" xfId="1" applyFont="1" applyFill="1" applyBorder="1" applyAlignment="1">
      <alignment horizontal="center"/>
    </xf>
    <xf numFmtId="0" fontId="9" fillId="0" borderId="13" xfId="2" applyFont="1" applyBorder="1"/>
    <xf numFmtId="20" fontId="8" fillId="0" borderId="14" xfId="1" applyNumberFormat="1" applyFont="1" applyBorder="1" applyAlignment="1">
      <alignment horizontal="center"/>
    </xf>
    <xf numFmtId="0" fontId="6" fillId="0" borderId="18" xfId="1" applyFont="1" applyBorder="1" applyAlignment="1">
      <alignment horizontal="left"/>
    </xf>
    <xf numFmtId="0" fontId="9" fillId="5" borderId="14" xfId="1" quotePrefix="1" applyFont="1" applyFill="1" applyBorder="1" applyAlignment="1">
      <alignment horizontal="center"/>
    </xf>
    <xf numFmtId="164" fontId="9" fillId="0" borderId="19" xfId="1" quotePrefix="1" applyNumberFormat="1" applyFont="1" applyBorder="1" applyAlignment="1">
      <alignment horizontal="left"/>
    </xf>
    <xf numFmtId="0" fontId="8" fillId="0" borderId="18" xfId="1" applyFont="1" applyBorder="1" applyAlignment="1">
      <alignment horizontal="left"/>
    </xf>
    <xf numFmtId="0" fontId="9" fillId="0" borderId="24" xfId="2" applyFont="1" applyBorder="1"/>
    <xf numFmtId="0" fontId="9" fillId="5" borderId="15" xfId="1" quotePrefix="1" applyFont="1" applyFill="1" applyBorder="1" applyAlignment="1">
      <alignment horizontal="center"/>
    </xf>
    <xf numFmtId="164" fontId="9" fillId="0" borderId="25" xfId="1" quotePrefix="1" applyNumberFormat="1" applyFont="1" applyBorder="1" applyAlignment="1">
      <alignment horizontal="left"/>
    </xf>
    <xf numFmtId="0" fontId="8" fillId="0" borderId="34" xfId="1" applyFont="1" applyBorder="1" applyAlignment="1">
      <alignment horizontal="left"/>
    </xf>
    <xf numFmtId="0" fontId="6" fillId="0" borderId="17" xfId="2" applyFont="1" applyBorder="1"/>
    <xf numFmtId="0" fontId="14" fillId="0" borderId="34" xfId="1" applyFont="1" applyBorder="1" applyAlignment="1">
      <alignment horizontal="center"/>
    </xf>
    <xf numFmtId="0" fontId="9" fillId="5" borderId="21" xfId="1" applyFont="1" applyFill="1" applyBorder="1" applyAlignment="1">
      <alignment horizontal="left"/>
    </xf>
    <xf numFmtId="0" fontId="9" fillId="5" borderId="9" xfId="1" applyFont="1" applyFill="1" applyBorder="1" applyAlignment="1">
      <alignment horizontal="left"/>
    </xf>
    <xf numFmtId="16" fontId="8" fillId="0" borderId="0" xfId="2" quotePrefix="1" applyNumberFormat="1" applyFont="1" applyAlignment="1">
      <alignment horizontal="center"/>
    </xf>
    <xf numFmtId="0" fontId="6" fillId="0" borderId="14" xfId="2" quotePrefix="1" applyFont="1" applyBorder="1" applyAlignment="1">
      <alignment horizontal="center"/>
    </xf>
    <xf numFmtId="20" fontId="6" fillId="0" borderId="14" xfId="2" quotePrefix="1" applyNumberFormat="1" applyFont="1" applyBorder="1" applyAlignment="1">
      <alignment horizontal="center"/>
    </xf>
    <xf numFmtId="20" fontId="6" fillId="0" borderId="19" xfId="2" quotePrefix="1" applyNumberFormat="1" applyFont="1" applyBorder="1" applyAlignment="1">
      <alignment horizontal="left"/>
    </xf>
    <xf numFmtId="0" fontId="8" fillId="0" borderId="18" xfId="2" quotePrefix="1" applyFont="1" applyBorder="1" applyAlignment="1">
      <alignment horizontal="left"/>
    </xf>
    <xf numFmtId="0" fontId="7" fillId="0" borderId="20" xfId="2" applyFont="1" applyBorder="1" applyAlignment="1">
      <alignment horizontal="center"/>
    </xf>
    <xf numFmtId="0" fontId="7" fillId="0" borderId="14" xfId="2" applyFont="1" applyBorder="1" applyAlignment="1">
      <alignment horizontal="center"/>
    </xf>
    <xf numFmtId="0" fontId="7" fillId="0" borderId="16" xfId="2" applyFont="1" applyBorder="1" applyAlignment="1">
      <alignment horizontal="center"/>
    </xf>
    <xf numFmtId="0" fontId="7" fillId="0" borderId="13" xfId="2" applyFont="1" applyBorder="1" applyAlignment="1">
      <alignment horizontal="center"/>
    </xf>
    <xf numFmtId="0" fontId="7" fillId="0" borderId="19" xfId="2" applyFont="1" applyBorder="1" applyAlignment="1">
      <alignment horizontal="center"/>
    </xf>
    <xf numFmtId="0" fontId="7" fillId="0" borderId="14" xfId="2" quotePrefix="1" applyFont="1" applyBorder="1" applyAlignment="1">
      <alignment horizontal="center"/>
    </xf>
    <xf numFmtId="0" fontId="9" fillId="0" borderId="17" xfId="1" applyFont="1" applyBorder="1"/>
    <xf numFmtId="20" fontId="9" fillId="0" borderId="14" xfId="1" quotePrefix="1" applyNumberFormat="1" applyFont="1" applyBorder="1" applyAlignment="1">
      <alignment horizontal="center"/>
    </xf>
    <xf numFmtId="164" fontId="9" fillId="0" borderId="19" xfId="2" quotePrefix="1" applyNumberFormat="1" applyFont="1" applyBorder="1" applyAlignment="1">
      <alignment horizontal="left"/>
    </xf>
    <xf numFmtId="16" fontId="9" fillId="0" borderId="15" xfId="1" quotePrefix="1" applyNumberFormat="1" applyFont="1" applyBorder="1" applyAlignment="1">
      <alignment horizontal="center"/>
    </xf>
    <xf numFmtId="0" fontId="9" fillId="0" borderId="21" xfId="1" applyFont="1" applyBorder="1"/>
    <xf numFmtId="0" fontId="9" fillId="0" borderId="14" xfId="7" quotePrefix="1" applyFont="1" applyBorder="1" applyAlignment="1">
      <alignment horizontal="center"/>
    </xf>
    <xf numFmtId="20" fontId="9" fillId="0" borderId="14" xfId="7" applyNumberFormat="1" applyFont="1" applyBorder="1" applyAlignment="1">
      <alignment horizontal="center"/>
    </xf>
    <xf numFmtId="0" fontId="9" fillId="0" borderId="18" xfId="7" applyFont="1" applyBorder="1" applyAlignment="1">
      <alignment horizontal="left"/>
    </xf>
    <xf numFmtId="0" fontId="6" fillId="0" borderId="17" xfId="7" applyFont="1" applyBorder="1" applyAlignment="1">
      <alignment horizontal="left"/>
    </xf>
    <xf numFmtId="0" fontId="14" fillId="0" borderId="22" xfId="7" applyFont="1" applyBorder="1" applyAlignment="1">
      <alignment horizontal="center"/>
    </xf>
    <xf numFmtId="0" fontId="14" fillId="0" borderId="15" xfId="7" applyFont="1" applyBorder="1" applyAlignment="1">
      <alignment horizontal="center"/>
    </xf>
    <xf numFmtId="0" fontId="14" fillId="0" borderId="23" xfId="7" applyFont="1" applyBorder="1" applyAlignment="1">
      <alignment horizontal="center"/>
    </xf>
    <xf numFmtId="0" fontId="14" fillId="0" borderId="24" xfId="7" applyFont="1" applyBorder="1" applyAlignment="1">
      <alignment horizontal="center"/>
    </xf>
    <xf numFmtId="0" fontId="14" fillId="0" borderId="25" xfId="7" applyFont="1" applyBorder="1" applyAlignment="1">
      <alignment horizontal="center"/>
    </xf>
    <xf numFmtId="0" fontId="9" fillId="0" borderId="21" xfId="7" applyFont="1" applyBorder="1"/>
    <xf numFmtId="0" fontId="8" fillId="0" borderId="13" xfId="3" applyFont="1" applyBorder="1"/>
    <xf numFmtId="0" fontId="8" fillId="0" borderId="14" xfId="3" quotePrefix="1" applyFont="1" applyBorder="1" applyAlignment="1">
      <alignment horizontal="center"/>
    </xf>
    <xf numFmtId="20" fontId="8" fillId="0" borderId="14" xfId="3" quotePrefix="1" applyNumberFormat="1" applyFont="1" applyBorder="1" applyAlignment="1">
      <alignment horizontal="center"/>
    </xf>
    <xf numFmtId="0" fontId="6" fillId="0" borderId="18" xfId="3" applyFont="1" applyBorder="1" applyAlignment="1">
      <alignment horizontal="left"/>
    </xf>
    <xf numFmtId="0" fontId="10" fillId="0" borderId="18" xfId="3" applyFont="1" applyBorder="1" applyAlignment="1">
      <alignment horizontal="center"/>
    </xf>
    <xf numFmtId="0" fontId="10" fillId="0" borderId="20" xfId="3" applyFont="1" applyBorder="1" applyAlignment="1">
      <alignment horizontal="center"/>
    </xf>
    <xf numFmtId="0" fontId="10" fillId="0" borderId="16" xfId="3" applyFont="1" applyBorder="1" applyAlignment="1">
      <alignment horizontal="center"/>
    </xf>
    <xf numFmtId="0" fontId="10" fillId="0" borderId="19" xfId="3" applyFont="1" applyBorder="1" applyAlignment="1">
      <alignment horizontal="center"/>
    </xf>
    <xf numFmtId="0" fontId="8" fillId="0" borderId="17" xfId="3" applyFont="1" applyBorder="1"/>
    <xf numFmtId="16" fontId="8" fillId="0" borderId="14" xfId="3" quotePrefix="1" applyNumberFormat="1" applyFont="1" applyBorder="1" applyAlignment="1">
      <alignment horizontal="center"/>
    </xf>
    <xf numFmtId="164" fontId="6" fillId="0" borderId="19" xfId="2" quotePrefix="1" applyNumberFormat="1" applyFont="1" applyBorder="1" applyAlignment="1">
      <alignment horizontal="left"/>
    </xf>
    <xf numFmtId="0" fontId="8" fillId="0" borderId="18" xfId="2" applyFont="1" applyBorder="1" applyAlignment="1">
      <alignment horizontal="left"/>
    </xf>
    <xf numFmtId="0" fontId="8" fillId="0" borderId="17" xfId="2" applyFont="1" applyBorder="1" applyAlignment="1">
      <alignment horizontal="left"/>
    </xf>
    <xf numFmtId="0" fontId="7" fillId="0" borderId="22" xfId="2" applyFont="1" applyBorder="1" applyAlignment="1">
      <alignment horizontal="center"/>
    </xf>
    <xf numFmtId="0" fontId="7" fillId="0" borderId="15" xfId="2" applyFont="1" applyBorder="1" applyAlignment="1">
      <alignment horizontal="center"/>
    </xf>
    <xf numFmtId="0" fontId="7" fillId="0" borderId="23" xfId="2" applyFont="1" applyBorder="1" applyAlignment="1">
      <alignment horizontal="center"/>
    </xf>
    <xf numFmtId="0" fontId="7" fillId="0" borderId="24" xfId="2" applyFont="1" applyBorder="1" applyAlignment="1">
      <alignment horizontal="center"/>
    </xf>
    <xf numFmtId="0" fontId="7" fillId="0" borderId="25" xfId="2" applyFont="1" applyBorder="1" applyAlignment="1">
      <alignment horizontal="center"/>
    </xf>
    <xf numFmtId="0" fontId="8" fillId="0" borderId="21" xfId="2" applyFont="1" applyBorder="1" applyAlignment="1">
      <alignment horizontal="left"/>
    </xf>
    <xf numFmtId="0" fontId="9" fillId="0" borderId="13" xfId="8" applyFont="1" applyBorder="1"/>
    <xf numFmtId="0" fontId="8" fillId="0" borderId="14" xfId="9" applyFont="1" applyBorder="1" applyAlignment="1">
      <alignment horizontal="center"/>
    </xf>
    <xf numFmtId="49" fontId="8" fillId="5" borderId="14" xfId="5" applyNumberFormat="1" applyFont="1" applyFill="1" applyBorder="1" applyAlignment="1">
      <alignment horizontal="center"/>
    </xf>
    <xf numFmtId="0" fontId="8" fillId="5" borderId="14" xfId="5" applyFont="1" applyFill="1" applyBorder="1" applyAlignment="1">
      <alignment horizontal="center"/>
    </xf>
    <xf numFmtId="20" fontId="8" fillId="0" borderId="14" xfId="9" applyNumberFormat="1" applyFont="1" applyBorder="1" applyAlignment="1">
      <alignment horizontal="center"/>
    </xf>
    <xf numFmtId="164" fontId="6" fillId="0" borderId="19" xfId="9" applyNumberFormat="1" applyFont="1" applyBorder="1" applyAlignment="1">
      <alignment horizontal="left"/>
    </xf>
    <xf numFmtId="0" fontId="6" fillId="0" borderId="18" xfId="9" applyFont="1" applyBorder="1" applyAlignment="1">
      <alignment horizontal="left"/>
    </xf>
    <xf numFmtId="0" fontId="6" fillId="0" borderId="17" xfId="9" applyFont="1" applyBorder="1" applyAlignment="1">
      <alignment horizontal="left"/>
    </xf>
    <xf numFmtId="0" fontId="10" fillId="0" borderId="20" xfId="9" applyFont="1" applyBorder="1" applyAlignment="1">
      <alignment horizontal="center"/>
    </xf>
    <xf numFmtId="0" fontId="10" fillId="0" borderId="14" xfId="9" applyFont="1" applyBorder="1" applyAlignment="1">
      <alignment horizontal="center"/>
    </xf>
    <xf numFmtId="0" fontId="10" fillId="0" borderId="16" xfId="9" applyFont="1" applyBorder="1" applyAlignment="1">
      <alignment horizontal="center"/>
    </xf>
    <xf numFmtId="0" fontId="10" fillId="0" borderId="13" xfId="9" applyFont="1" applyBorder="1" applyAlignment="1">
      <alignment horizontal="center"/>
    </xf>
    <xf numFmtId="0" fontId="10" fillId="0" borderId="19" xfId="9" applyFont="1" applyBorder="1" applyAlignment="1">
      <alignment horizontal="center"/>
    </xf>
    <xf numFmtId="0" fontId="10" fillId="0" borderId="18" xfId="9" applyFont="1" applyBorder="1" applyAlignment="1">
      <alignment horizontal="center"/>
    </xf>
    <xf numFmtId="0" fontId="6" fillId="0" borderId="17" xfId="10" applyFont="1" applyBorder="1"/>
    <xf numFmtId="0" fontId="8" fillId="0" borderId="13" xfId="10" applyFont="1" applyBorder="1"/>
    <xf numFmtId="0" fontId="8" fillId="0" borderId="0" xfId="9" applyFont="1" applyAlignment="1">
      <alignment horizontal="center"/>
    </xf>
    <xf numFmtId="0" fontId="8" fillId="0" borderId="27" xfId="9" applyFont="1" applyBorder="1" applyAlignment="1">
      <alignment horizontal="center"/>
    </xf>
    <xf numFmtId="6" fontId="8" fillId="0" borderId="27" xfId="9" applyNumberFormat="1" applyFont="1" applyBorder="1" applyAlignment="1">
      <alignment horizontal="center"/>
    </xf>
    <xf numFmtId="164" fontId="6" fillId="0" borderId="28" xfId="9" applyNumberFormat="1" applyFont="1" applyBorder="1" applyAlignment="1">
      <alignment horizontal="left"/>
    </xf>
    <xf numFmtId="6" fontId="6" fillId="0" borderId="29" xfId="9" applyNumberFormat="1" applyFont="1" applyBorder="1" applyAlignment="1">
      <alignment horizontal="left"/>
    </xf>
    <xf numFmtId="0" fontId="6" fillId="0" borderId="33" xfId="1" applyFont="1" applyBorder="1"/>
    <xf numFmtId="0" fontId="10" fillId="0" borderId="29" xfId="9" applyFont="1" applyBorder="1" applyAlignment="1">
      <alignment horizontal="center"/>
    </xf>
    <xf numFmtId="0" fontId="10" fillId="0" borderId="30" xfId="9" applyFont="1" applyBorder="1" applyAlignment="1">
      <alignment horizontal="center"/>
    </xf>
    <xf numFmtId="0" fontId="10" fillId="0" borderId="31" xfId="9" applyFont="1" applyBorder="1" applyAlignment="1">
      <alignment horizontal="center"/>
    </xf>
    <xf numFmtId="0" fontId="10" fillId="0" borderId="32" xfId="9" applyFont="1" applyBorder="1" applyAlignment="1">
      <alignment horizontal="center"/>
    </xf>
    <xf numFmtId="0" fontId="10" fillId="0" borderId="27" xfId="9" applyFont="1" applyBorder="1" applyAlignment="1">
      <alignment horizontal="center"/>
    </xf>
    <xf numFmtId="0" fontId="10" fillId="0" borderId="28" xfId="9" applyFont="1" applyBorder="1" applyAlignment="1">
      <alignment horizontal="center"/>
    </xf>
    <xf numFmtId="0" fontId="8" fillId="0" borderId="33" xfId="9" applyFont="1" applyBorder="1"/>
    <xf numFmtId="16" fontId="13" fillId="0" borderId="14" xfId="2" quotePrefix="1" applyNumberFormat="1" applyFont="1" applyBorder="1" applyAlignment="1">
      <alignment horizontal="center"/>
    </xf>
    <xf numFmtId="165" fontId="9" fillId="5" borderId="19" xfId="1" applyNumberFormat="1" applyFont="1" applyFill="1" applyBorder="1" applyAlignment="1">
      <alignment horizontal="left"/>
    </xf>
    <xf numFmtId="6" fontId="9" fillId="5" borderId="14" xfId="1" applyNumberFormat="1" applyFont="1" applyFill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9" fillId="5" borderId="16" xfId="1" quotePrefix="1" applyFont="1" applyFill="1" applyBorder="1" applyAlignment="1">
      <alignment horizontal="center"/>
    </xf>
    <xf numFmtId="0" fontId="9" fillId="5" borderId="0" xfId="1" quotePrefix="1" applyFont="1" applyFill="1" applyAlignment="1">
      <alignment horizontal="center"/>
    </xf>
    <xf numFmtId="0" fontId="14" fillId="5" borderId="35" xfId="1" applyFont="1" applyFill="1" applyBorder="1" applyAlignment="1">
      <alignment horizontal="center"/>
    </xf>
    <xf numFmtId="0" fontId="15" fillId="0" borderId="14" xfId="1" applyFont="1" applyBorder="1" applyAlignment="1">
      <alignment horizontal="center"/>
    </xf>
    <xf numFmtId="16" fontId="15" fillId="0" borderId="14" xfId="1" quotePrefix="1" applyNumberFormat="1" applyFont="1" applyBorder="1" applyAlignment="1">
      <alignment horizontal="center"/>
    </xf>
    <xf numFmtId="0" fontId="6" fillId="0" borderId="19" xfId="1" quotePrefix="1" applyFont="1" applyBorder="1" applyAlignment="1">
      <alignment horizontal="left"/>
    </xf>
    <xf numFmtId="0" fontId="16" fillId="0" borderId="35" xfId="1" applyFont="1" applyBorder="1" applyAlignment="1">
      <alignment horizontal="center"/>
    </xf>
    <xf numFmtId="0" fontId="16" fillId="0" borderId="14" xfId="1" applyFont="1" applyBorder="1" applyAlignment="1">
      <alignment horizontal="center"/>
    </xf>
    <xf numFmtId="0" fontId="16" fillId="0" borderId="20" xfId="1" applyFont="1" applyBorder="1" applyAlignment="1">
      <alignment horizontal="center"/>
    </xf>
    <xf numFmtId="0" fontId="16" fillId="0" borderId="19" xfId="1" applyFont="1" applyBorder="1" applyAlignment="1">
      <alignment horizontal="center"/>
    </xf>
    <xf numFmtId="0" fontId="16" fillId="0" borderId="13" xfId="1" applyFont="1" applyBorder="1" applyAlignment="1">
      <alignment horizontal="center"/>
    </xf>
    <xf numFmtId="0" fontId="15" fillId="0" borderId="17" xfId="1" applyFont="1" applyBorder="1"/>
    <xf numFmtId="0" fontId="6" fillId="5" borderId="14" xfId="1" quotePrefix="1" applyFont="1" applyFill="1" applyBorder="1" applyAlignment="1">
      <alignment horizontal="center"/>
    </xf>
    <xf numFmtId="6" fontId="6" fillId="5" borderId="14" xfId="1" applyNumberFormat="1" applyFont="1" applyFill="1" applyBorder="1" applyAlignment="1">
      <alignment horizontal="center"/>
    </xf>
    <xf numFmtId="165" fontId="9" fillId="5" borderId="16" xfId="1" quotePrefix="1" applyNumberFormat="1" applyFont="1" applyFill="1" applyBorder="1" applyAlignment="1">
      <alignment horizontal="left"/>
    </xf>
    <xf numFmtId="0" fontId="6" fillId="5" borderId="17" xfId="1" applyFont="1" applyFill="1" applyBorder="1" applyAlignment="1">
      <alignment horizontal="left"/>
    </xf>
    <xf numFmtId="0" fontId="9" fillId="0" borderId="35" xfId="1" applyFont="1" applyBorder="1" applyAlignment="1">
      <alignment horizontal="left"/>
    </xf>
    <xf numFmtId="0" fontId="7" fillId="5" borderId="35" xfId="1" applyFont="1" applyFill="1" applyBorder="1" applyAlignment="1">
      <alignment horizontal="center"/>
    </xf>
    <xf numFmtId="0" fontId="7" fillId="5" borderId="14" xfId="1" applyFont="1" applyFill="1" applyBorder="1" applyAlignment="1">
      <alignment horizontal="center"/>
    </xf>
    <xf numFmtId="0" fontId="7" fillId="5" borderId="20" xfId="1" applyFont="1" applyFill="1" applyBorder="1" applyAlignment="1">
      <alignment horizontal="center"/>
    </xf>
    <xf numFmtId="0" fontId="7" fillId="5" borderId="19" xfId="1" applyFont="1" applyFill="1" applyBorder="1" applyAlignment="1">
      <alignment horizontal="center"/>
    </xf>
    <xf numFmtId="16" fontId="13" fillId="0" borderId="14" xfId="1" quotePrefix="1" applyNumberFormat="1" applyFont="1" applyBorder="1" applyAlignment="1">
      <alignment horizontal="center"/>
    </xf>
    <xf numFmtId="0" fontId="6" fillId="0" borderId="36" xfId="1" applyFont="1" applyBorder="1"/>
    <xf numFmtId="0" fontId="9" fillId="5" borderId="36" xfId="1" applyFont="1" applyFill="1" applyBorder="1" applyAlignment="1">
      <alignment horizontal="left"/>
    </xf>
    <xf numFmtId="0" fontId="8" fillId="0" borderId="27" xfId="2" applyFont="1" applyBorder="1" applyAlignment="1">
      <alignment horizontal="center"/>
    </xf>
    <xf numFmtId="164" fontId="9" fillId="0" borderId="16" xfId="1" quotePrefix="1" applyNumberFormat="1" applyFont="1" applyBorder="1" applyAlignment="1">
      <alignment horizontal="left"/>
    </xf>
    <xf numFmtId="0" fontId="6" fillId="0" borderId="36" xfId="2" applyFont="1" applyBorder="1"/>
    <xf numFmtId="164" fontId="9" fillId="0" borderId="14" xfId="1" quotePrefix="1" applyNumberFormat="1" applyFont="1" applyBorder="1" applyAlignment="1">
      <alignment horizontal="left"/>
    </xf>
    <xf numFmtId="0" fontId="6" fillId="0" borderId="26" xfId="2" applyFont="1" applyBorder="1"/>
    <xf numFmtId="0" fontId="9" fillId="5" borderId="26" xfId="1" applyFont="1" applyFill="1" applyBorder="1" applyAlignment="1">
      <alignment horizontal="left"/>
    </xf>
    <xf numFmtId="0" fontId="6" fillId="0" borderId="21" xfId="2" applyFont="1" applyBorder="1"/>
    <xf numFmtId="165" fontId="9" fillId="0" borderId="16" xfId="1" applyNumberFormat="1" applyFont="1" applyBorder="1" applyAlignment="1">
      <alignment horizontal="left"/>
    </xf>
    <xf numFmtId="0" fontId="9" fillId="0" borderId="26" xfId="1" applyFont="1" applyBorder="1" applyAlignment="1">
      <alignment horizontal="left"/>
    </xf>
    <xf numFmtId="0" fontId="6" fillId="0" borderId="34" xfId="1" applyFont="1" applyBorder="1"/>
    <xf numFmtId="0" fontId="6" fillId="0" borderId="35" xfId="1" applyFont="1" applyBorder="1"/>
    <xf numFmtId="0" fontId="8" fillId="0" borderId="0" xfId="2" applyFont="1" applyAlignment="1">
      <alignment horizontal="center"/>
    </xf>
    <xf numFmtId="0" fontId="8" fillId="0" borderId="19" xfId="1" applyFont="1" applyBorder="1" applyAlignment="1">
      <alignment horizontal="left"/>
    </xf>
    <xf numFmtId="16" fontId="13" fillId="0" borderId="15" xfId="1" quotePrefix="1" applyNumberFormat="1" applyFont="1" applyBorder="1" applyAlignment="1">
      <alignment horizontal="center"/>
    </xf>
    <xf numFmtId="20" fontId="9" fillId="0" borderId="27" xfId="1" applyNumberFormat="1" applyFont="1" applyBorder="1" applyAlignment="1">
      <alignment horizontal="center"/>
    </xf>
    <xf numFmtId="164" fontId="9" fillId="0" borderId="28" xfId="1" quotePrefix="1" applyNumberFormat="1" applyFont="1" applyBorder="1" applyAlignment="1">
      <alignment horizontal="left"/>
    </xf>
    <xf numFmtId="0" fontId="8" fillId="0" borderId="29" xfId="1" applyFont="1" applyBorder="1" applyAlignment="1">
      <alignment horizontal="left"/>
    </xf>
    <xf numFmtId="0" fontId="14" fillId="0" borderId="29" xfId="1" applyFont="1" applyBorder="1" applyAlignment="1">
      <alignment horizontal="center"/>
    </xf>
    <xf numFmtId="0" fontId="14" fillId="0" borderId="3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14" fillId="0" borderId="32" xfId="1" applyFont="1" applyBorder="1" applyAlignment="1">
      <alignment horizontal="center"/>
    </xf>
    <xf numFmtId="0" fontId="14" fillId="0" borderId="27" xfId="1" applyFont="1" applyBorder="1" applyAlignment="1">
      <alignment horizontal="center"/>
    </xf>
    <xf numFmtId="0" fontId="14" fillId="0" borderId="28" xfId="1" applyFont="1" applyBorder="1" applyAlignment="1">
      <alignment horizontal="center"/>
    </xf>
    <xf numFmtId="0" fontId="8" fillId="0" borderId="33" xfId="1" applyFont="1" applyBorder="1" applyAlignment="1">
      <alignment horizontal="left"/>
    </xf>
    <xf numFmtId="0" fontId="14" fillId="0" borderId="37" xfId="1" applyFont="1" applyBorder="1" applyAlignment="1">
      <alignment horizontal="center"/>
    </xf>
    <xf numFmtId="0" fontId="8" fillId="0" borderId="26" xfId="1" applyFont="1" applyBorder="1" applyAlignment="1">
      <alignment horizontal="left"/>
    </xf>
    <xf numFmtId="0" fontId="6" fillId="0" borderId="26" xfId="1" applyFont="1" applyBorder="1"/>
    <xf numFmtId="16" fontId="8" fillId="0" borderId="27" xfId="2" quotePrefix="1" applyNumberFormat="1" applyFont="1" applyBorder="1" applyAlignment="1">
      <alignment horizontal="center"/>
    </xf>
    <xf numFmtId="0" fontId="9" fillId="0" borderId="36" xfId="1" applyFont="1" applyBorder="1" applyAlignment="1">
      <alignment horizontal="left"/>
    </xf>
    <xf numFmtId="0" fontId="9" fillId="0" borderId="21" xfId="1" applyFont="1" applyBorder="1" applyAlignment="1">
      <alignment horizontal="left"/>
    </xf>
    <xf numFmtId="49" fontId="8" fillId="0" borderId="15" xfId="1" applyNumberFormat="1" applyFont="1" applyBorder="1" applyAlignment="1">
      <alignment horizontal="center"/>
    </xf>
    <xf numFmtId="0" fontId="10" fillId="0" borderId="24" xfId="1" applyFont="1" applyBorder="1" applyAlignment="1">
      <alignment horizontal="center"/>
    </xf>
    <xf numFmtId="0" fontId="10" fillId="0" borderId="15" xfId="1" applyFont="1" applyBorder="1" applyAlignment="1">
      <alignment horizontal="center"/>
    </xf>
    <xf numFmtId="0" fontId="10" fillId="0" borderId="25" xfId="1" applyFont="1" applyBorder="1" applyAlignment="1">
      <alignment horizontal="center"/>
    </xf>
    <xf numFmtId="0" fontId="10" fillId="0" borderId="22" xfId="1" applyFont="1" applyBorder="1" applyAlignment="1">
      <alignment horizontal="center"/>
    </xf>
    <xf numFmtId="0" fontId="8" fillId="0" borderId="21" xfId="1" applyFont="1" applyBorder="1" applyAlignment="1">
      <alignment horizontal="left"/>
    </xf>
    <xf numFmtId="0" fontId="6" fillId="0" borderId="36" xfId="1" applyFont="1" applyBorder="1" applyAlignment="1">
      <alignment horizontal="left"/>
    </xf>
    <xf numFmtId="16" fontId="10" fillId="0" borderId="24" xfId="1" applyNumberFormat="1" applyFont="1" applyBorder="1" applyAlignment="1">
      <alignment horizontal="center"/>
    </xf>
    <xf numFmtId="49" fontId="8" fillId="5" borderId="15" xfId="5" applyNumberFormat="1" applyFont="1" applyFill="1" applyBorder="1" applyAlignment="1">
      <alignment horizontal="center"/>
    </xf>
    <xf numFmtId="0" fontId="9" fillId="5" borderId="14" xfId="5" applyFont="1" applyFill="1" applyBorder="1" applyAlignment="1">
      <alignment horizontal="center"/>
    </xf>
    <xf numFmtId="164" fontId="6" fillId="0" borderId="19" xfId="1" applyNumberFormat="1" applyFont="1" applyBorder="1" applyAlignment="1">
      <alignment horizontal="left"/>
    </xf>
    <xf numFmtId="0" fontId="10" fillId="0" borderId="23" xfId="1" applyFont="1" applyBorder="1" applyAlignment="1">
      <alignment horizontal="center"/>
    </xf>
    <xf numFmtId="0" fontId="10" fillId="0" borderId="24" xfId="1" quotePrefix="1" applyFont="1" applyBorder="1" applyAlignment="1">
      <alignment horizontal="center"/>
    </xf>
    <xf numFmtId="0" fontId="8" fillId="0" borderId="21" xfId="1" applyFont="1" applyBorder="1"/>
    <xf numFmtId="0" fontId="8" fillId="0" borderId="18" xfId="1" applyFont="1" applyBorder="1"/>
    <xf numFmtId="16" fontId="17" fillId="0" borderId="14" xfId="2" quotePrefix="1" applyNumberFormat="1" applyFont="1" applyBorder="1" applyAlignment="1">
      <alignment horizontal="center"/>
    </xf>
    <xf numFmtId="49" fontId="9" fillId="0" borderId="14" xfId="1" applyNumberFormat="1" applyFont="1" applyBorder="1" applyAlignment="1">
      <alignment horizontal="center"/>
    </xf>
    <xf numFmtId="49" fontId="9" fillId="0" borderId="19" xfId="1" quotePrefix="1" applyNumberFormat="1" applyFont="1" applyBorder="1" applyAlignment="1">
      <alignment horizontal="left"/>
    </xf>
    <xf numFmtId="0" fontId="6" fillId="0" borderId="35" xfId="2" applyFont="1" applyBorder="1"/>
    <xf numFmtId="49" fontId="9" fillId="0" borderId="24" xfId="1" applyNumberFormat="1" applyFont="1" applyBorder="1" applyAlignment="1">
      <alignment horizontal="center"/>
    </xf>
    <xf numFmtId="49" fontId="9" fillId="0" borderId="15" xfId="1" applyNumberFormat="1" applyFont="1" applyBorder="1" applyAlignment="1">
      <alignment horizontal="center"/>
    </xf>
    <xf numFmtId="49" fontId="9" fillId="0" borderId="25" xfId="1" applyNumberFormat="1" applyFont="1" applyBorder="1" applyAlignment="1">
      <alignment horizontal="center"/>
    </xf>
    <xf numFmtId="49" fontId="9" fillId="0" borderId="22" xfId="1" applyNumberFormat="1" applyFont="1" applyBorder="1" applyAlignment="1">
      <alignment horizontal="center"/>
    </xf>
    <xf numFmtId="49" fontId="14" fillId="0" borderId="22" xfId="1" applyNumberFormat="1" applyFont="1" applyBorder="1" applyAlignment="1">
      <alignment horizontal="center"/>
    </xf>
    <xf numFmtId="49" fontId="14" fillId="0" borderId="15" xfId="1" applyNumberFormat="1" applyFont="1" applyBorder="1" applyAlignment="1">
      <alignment horizontal="center"/>
    </xf>
    <xf numFmtId="49" fontId="14" fillId="0" borderId="25" xfId="1" applyNumberFormat="1" applyFont="1" applyBorder="1" applyAlignment="1">
      <alignment horizontal="center"/>
    </xf>
    <xf numFmtId="49" fontId="9" fillId="0" borderId="21" xfId="1" applyNumberFormat="1" applyFont="1" applyBorder="1" applyAlignment="1">
      <alignment horizontal="left"/>
    </xf>
    <xf numFmtId="0" fontId="8" fillId="0" borderId="27" xfId="3" quotePrefix="1" applyFont="1" applyBorder="1" applyAlignment="1">
      <alignment horizontal="center"/>
    </xf>
    <xf numFmtId="20" fontId="8" fillId="0" borderId="27" xfId="3" quotePrefix="1" applyNumberFormat="1" applyFont="1" applyBorder="1" applyAlignment="1">
      <alignment horizontal="center"/>
    </xf>
    <xf numFmtId="164" fontId="6" fillId="0" borderId="28" xfId="3" quotePrefix="1" applyNumberFormat="1" applyFont="1" applyBorder="1" applyAlignment="1">
      <alignment horizontal="left"/>
    </xf>
    <xf numFmtId="0" fontId="6" fillId="0" borderId="33" xfId="3" applyFont="1" applyBorder="1" applyAlignment="1">
      <alignment horizontal="left"/>
    </xf>
    <xf numFmtId="0" fontId="10" fillId="0" borderId="37" xfId="3" applyFont="1" applyBorder="1" applyAlignment="1">
      <alignment horizontal="center"/>
    </xf>
    <xf numFmtId="0" fontId="10" fillId="0" borderId="30" xfId="3" applyFont="1" applyBorder="1" applyAlignment="1">
      <alignment horizontal="center"/>
    </xf>
    <xf numFmtId="0" fontId="10" fillId="0" borderId="28" xfId="3" applyFont="1" applyBorder="1" applyAlignment="1">
      <alignment horizontal="center"/>
    </xf>
    <xf numFmtId="0" fontId="10" fillId="0" borderId="32" xfId="3" applyFont="1" applyBorder="1" applyAlignment="1">
      <alignment horizontal="center"/>
    </xf>
    <xf numFmtId="0" fontId="10" fillId="0" borderId="27" xfId="3" applyFont="1" applyBorder="1" applyAlignment="1">
      <alignment horizontal="center"/>
    </xf>
    <xf numFmtId="0" fontId="8" fillId="0" borderId="33" xfId="3" applyFont="1" applyBorder="1"/>
    <xf numFmtId="164" fontId="6" fillId="0" borderId="19" xfId="3" quotePrefix="1" applyNumberFormat="1" applyFont="1" applyBorder="1" applyAlignment="1">
      <alignment horizontal="left"/>
    </xf>
    <xf numFmtId="0" fontId="6" fillId="0" borderId="14" xfId="3" applyFont="1" applyBorder="1" applyAlignment="1">
      <alignment horizontal="left"/>
    </xf>
    <xf numFmtId="0" fontId="10" fillId="0" borderId="35" xfId="3" applyFont="1" applyBorder="1" applyAlignment="1">
      <alignment horizontal="center"/>
    </xf>
    <xf numFmtId="0" fontId="6" fillId="0" borderId="33" xfId="1" applyFont="1" applyBorder="1" applyAlignment="1">
      <alignment horizontal="left"/>
    </xf>
    <xf numFmtId="0" fontId="10" fillId="0" borderId="37" xfId="1" applyFont="1" applyBorder="1" applyAlignment="1">
      <alignment horizontal="center"/>
    </xf>
    <xf numFmtId="0" fontId="9" fillId="0" borderId="27" xfId="1" quotePrefix="1" applyFont="1" applyBorder="1" applyAlignment="1">
      <alignment horizontal="center"/>
    </xf>
    <xf numFmtId="165" fontId="9" fillId="0" borderId="28" xfId="1" quotePrefix="1" applyNumberFormat="1" applyFont="1" applyBorder="1" applyAlignment="1">
      <alignment horizontal="left"/>
    </xf>
    <xf numFmtId="0" fontId="9" fillId="0" borderId="33" xfId="1" applyFont="1" applyBorder="1" applyAlignment="1">
      <alignment horizontal="left"/>
    </xf>
    <xf numFmtId="164" fontId="6" fillId="0" borderId="16" xfId="3" quotePrefix="1" applyNumberFormat="1" applyFont="1" applyBorder="1" applyAlignment="1">
      <alignment horizontal="left"/>
    </xf>
    <xf numFmtId="0" fontId="6" fillId="0" borderId="17" xfId="3" applyFont="1" applyBorder="1" applyAlignment="1">
      <alignment horizontal="left"/>
    </xf>
    <xf numFmtId="20" fontId="6" fillId="5" borderId="14" xfId="1" applyNumberFormat="1" applyFont="1" applyFill="1" applyBorder="1" applyAlignment="1">
      <alignment horizontal="center"/>
    </xf>
    <xf numFmtId="165" fontId="6" fillId="5" borderId="16" xfId="1" applyNumberFormat="1" applyFont="1" applyFill="1" applyBorder="1" applyAlignment="1">
      <alignment horizontal="left"/>
    </xf>
    <xf numFmtId="0" fontId="7" fillId="5" borderId="18" xfId="1" applyFont="1" applyFill="1" applyBorder="1" applyAlignment="1">
      <alignment horizontal="center"/>
    </xf>
    <xf numFmtId="0" fontId="7" fillId="5" borderId="16" xfId="1" applyFont="1" applyFill="1" applyBorder="1" applyAlignment="1">
      <alignment horizontal="center"/>
    </xf>
    <xf numFmtId="0" fontId="7" fillId="5" borderId="13" xfId="1" applyFont="1" applyFill="1" applyBorder="1" applyAlignment="1">
      <alignment horizontal="center"/>
    </xf>
    <xf numFmtId="165" fontId="9" fillId="0" borderId="16" xfId="1" quotePrefix="1" applyNumberFormat="1" applyFont="1" applyBorder="1" applyAlignment="1">
      <alignment horizontal="left"/>
    </xf>
    <xf numFmtId="6" fontId="9" fillId="0" borderId="14" xfId="1" applyNumberFormat="1" applyFont="1" applyBorder="1" applyAlignment="1">
      <alignment horizontal="center"/>
    </xf>
    <xf numFmtId="165" fontId="9" fillId="0" borderId="17" xfId="1" applyNumberFormat="1" applyFont="1" applyBorder="1" applyAlignment="1">
      <alignment horizontal="left"/>
    </xf>
    <xf numFmtId="165" fontId="9" fillId="5" borderId="16" xfId="1" applyNumberFormat="1" applyFont="1" applyFill="1" applyBorder="1" applyAlignment="1">
      <alignment horizontal="left"/>
    </xf>
    <xf numFmtId="0" fontId="10" fillId="0" borderId="15" xfId="1" quotePrefix="1" applyFont="1" applyBorder="1" applyAlignment="1">
      <alignment horizontal="center"/>
    </xf>
    <xf numFmtId="49" fontId="9" fillId="0" borderId="14" xfId="7" quotePrefix="1" applyNumberFormat="1" applyFont="1" applyBorder="1" applyAlignment="1">
      <alignment horizontal="center"/>
    </xf>
    <xf numFmtId="49" fontId="9" fillId="0" borderId="14" xfId="7" applyNumberFormat="1" applyFont="1" applyBorder="1" applyAlignment="1">
      <alignment horizontal="center"/>
    </xf>
    <xf numFmtId="0" fontId="14" fillId="5" borderId="22" xfId="1" applyFont="1" applyFill="1" applyBorder="1" applyAlignment="1">
      <alignment horizontal="center"/>
    </xf>
    <xf numFmtId="0" fontId="14" fillId="5" borderId="15" xfId="1" applyFont="1" applyFill="1" applyBorder="1" applyAlignment="1">
      <alignment horizontal="center"/>
    </xf>
    <xf numFmtId="0" fontId="14" fillId="5" borderId="23" xfId="1" applyFont="1" applyFill="1" applyBorder="1" applyAlignment="1">
      <alignment horizontal="center"/>
    </xf>
    <xf numFmtId="0" fontId="14" fillId="5" borderId="24" xfId="1" applyFont="1" applyFill="1" applyBorder="1" applyAlignment="1">
      <alignment horizontal="center"/>
    </xf>
    <xf numFmtId="0" fontId="14" fillId="5" borderId="25" xfId="1" applyFont="1" applyFill="1" applyBorder="1" applyAlignment="1">
      <alignment horizontal="center"/>
    </xf>
    <xf numFmtId="165" fontId="6" fillId="5" borderId="19" xfId="1" applyNumberFormat="1" applyFont="1" applyFill="1" applyBorder="1" applyAlignment="1">
      <alignment horizontal="left"/>
    </xf>
    <xf numFmtId="0" fontId="6" fillId="5" borderId="18" xfId="1" applyFont="1" applyFill="1" applyBorder="1" applyAlignment="1">
      <alignment horizontal="left"/>
    </xf>
    <xf numFmtId="0" fontId="6" fillId="5" borderId="21" xfId="1" applyFont="1" applyFill="1" applyBorder="1" applyAlignment="1">
      <alignment horizontal="left"/>
    </xf>
    <xf numFmtId="0" fontId="7" fillId="5" borderId="22" xfId="1" applyFont="1" applyFill="1" applyBorder="1" applyAlignment="1">
      <alignment horizontal="center"/>
    </xf>
    <xf numFmtId="0" fontId="7" fillId="5" borderId="15" xfId="1" applyFont="1" applyFill="1" applyBorder="1" applyAlignment="1">
      <alignment horizontal="center"/>
    </xf>
    <xf numFmtId="0" fontId="7" fillId="5" borderId="23" xfId="1" applyFont="1" applyFill="1" applyBorder="1" applyAlignment="1">
      <alignment horizontal="center"/>
    </xf>
    <xf numFmtId="0" fontId="7" fillId="5" borderId="24" xfId="1" applyFont="1" applyFill="1" applyBorder="1" applyAlignment="1">
      <alignment horizontal="center"/>
    </xf>
    <xf numFmtId="0" fontId="7" fillId="5" borderId="25" xfId="1" applyFont="1" applyFill="1" applyBorder="1" applyAlignment="1">
      <alignment horizontal="center"/>
    </xf>
    <xf numFmtId="0" fontId="9" fillId="0" borderId="38" xfId="1" applyFont="1" applyBorder="1"/>
    <xf numFmtId="0" fontId="14" fillId="0" borderId="39" xfId="1" applyFont="1" applyBorder="1" applyAlignment="1">
      <alignment horizontal="center"/>
    </xf>
    <xf numFmtId="0" fontId="14" fillId="0" borderId="7" xfId="1" applyFont="1" applyBorder="1" applyAlignment="1">
      <alignment horizontal="center"/>
    </xf>
    <xf numFmtId="0" fontId="14" fillId="0" borderId="40" xfId="1" applyFont="1" applyBorder="1" applyAlignment="1">
      <alignment horizontal="center"/>
    </xf>
    <xf numFmtId="0" fontId="14" fillId="0" borderId="41" xfId="1" applyFont="1" applyBorder="1" applyAlignment="1">
      <alignment horizontal="center"/>
    </xf>
    <xf numFmtId="0" fontId="14" fillId="5" borderId="42" xfId="1" applyFont="1" applyFill="1" applyBorder="1" applyAlignment="1">
      <alignment horizontal="center"/>
    </xf>
    <xf numFmtId="0" fontId="14" fillId="5" borderId="43" xfId="1" applyFont="1" applyFill="1" applyBorder="1" applyAlignment="1">
      <alignment horizontal="center"/>
    </xf>
    <xf numFmtId="0" fontId="14" fillId="0" borderId="43" xfId="1" applyFont="1" applyBorder="1" applyAlignment="1">
      <alignment horizontal="center"/>
    </xf>
    <xf numFmtId="0" fontId="14" fillId="0" borderId="44" xfId="1" applyFont="1" applyBorder="1" applyAlignment="1">
      <alignment horizontal="center"/>
    </xf>
    <xf numFmtId="0" fontId="14" fillId="0" borderId="45" xfId="1" applyFont="1" applyBorder="1" applyAlignment="1">
      <alignment horizontal="center"/>
    </xf>
    <xf numFmtId="0" fontId="10" fillId="0" borderId="46" xfId="1" applyFont="1" applyBorder="1" applyAlignment="1">
      <alignment horizontal="center"/>
    </xf>
    <xf numFmtId="0" fontId="2" fillId="0" borderId="42" xfId="1" applyBorder="1"/>
    <xf numFmtId="0" fontId="6" fillId="0" borderId="7" xfId="1" applyFont="1" applyBorder="1" applyAlignment="1">
      <alignment horizontal="center"/>
    </xf>
    <xf numFmtId="0" fontId="13" fillId="0" borderId="7" xfId="1" applyFont="1" applyBorder="1" applyAlignment="1">
      <alignment horizontal="center"/>
    </xf>
    <xf numFmtId="0" fontId="6" fillId="0" borderId="43" xfId="1" applyFont="1" applyBorder="1" applyAlignment="1">
      <alignment horizontal="left"/>
    </xf>
    <xf numFmtId="0" fontId="6" fillId="0" borderId="38" xfId="1" applyFont="1" applyBorder="1"/>
    <xf numFmtId="0" fontId="18" fillId="7" borderId="1" xfId="1" applyFont="1" applyFill="1" applyBorder="1" applyAlignment="1">
      <alignment horizontal="center"/>
    </xf>
    <xf numFmtId="0" fontId="10" fillId="7" borderId="10" xfId="1" applyFont="1" applyFill="1" applyBorder="1" applyAlignment="1">
      <alignment horizontal="center"/>
    </xf>
    <xf numFmtId="0" fontId="10" fillId="6" borderId="10" xfId="1" applyFont="1" applyFill="1" applyBorder="1" applyAlignment="1">
      <alignment horizontal="center"/>
    </xf>
    <xf numFmtId="0" fontId="10" fillId="7" borderId="1" xfId="1" applyFont="1" applyFill="1" applyBorder="1" applyAlignment="1">
      <alignment horizontal="center"/>
    </xf>
    <xf numFmtId="0" fontId="10" fillId="15" borderId="10" xfId="1" applyFont="1" applyFill="1" applyBorder="1" applyAlignment="1">
      <alignment horizontal="center"/>
    </xf>
    <xf numFmtId="0" fontId="10" fillId="15" borderId="3" xfId="1" applyFont="1" applyFill="1" applyBorder="1" applyAlignment="1">
      <alignment horizontal="center"/>
    </xf>
    <xf numFmtId="0" fontId="10" fillId="7" borderId="3" xfId="1" applyFont="1" applyFill="1" applyBorder="1" applyAlignment="1">
      <alignment horizontal="center"/>
    </xf>
    <xf numFmtId="0" fontId="6" fillId="0" borderId="38" xfId="1" applyFont="1" applyBorder="1" applyAlignment="1">
      <alignment horizontal="center"/>
    </xf>
    <xf numFmtId="0" fontId="18" fillId="3" borderId="38" xfId="1" applyFont="1" applyFill="1" applyBorder="1"/>
    <xf numFmtId="0" fontId="6" fillId="0" borderId="39" xfId="1" applyFont="1" applyBorder="1"/>
    <xf numFmtId="0" fontId="6" fillId="0" borderId="46" xfId="1" applyFont="1" applyBorder="1"/>
    <xf numFmtId="0" fontId="18" fillId="3" borderId="1" xfId="1" applyFont="1" applyFill="1" applyBorder="1" applyAlignment="1">
      <alignment horizontal="center"/>
    </xf>
    <xf numFmtId="0" fontId="18" fillId="3" borderId="3" xfId="1" applyFont="1" applyFill="1" applyBorder="1" applyAlignment="1">
      <alignment horizontal="center"/>
    </xf>
    <xf numFmtId="0" fontId="18" fillId="3" borderId="2" xfId="1" applyFont="1" applyFill="1" applyBorder="1" applyAlignment="1">
      <alignment horizontal="center"/>
    </xf>
    <xf numFmtId="0" fontId="10" fillId="0" borderId="38" xfId="1" applyFont="1" applyBorder="1" applyAlignment="1">
      <alignment horizontal="center"/>
    </xf>
    <xf numFmtId="0" fontId="2" fillId="0" borderId="0" xfId="1" applyAlignment="1">
      <alignment horizontal="center"/>
    </xf>
    <xf numFmtId="0" fontId="7" fillId="0" borderId="1" xfId="1" applyFont="1" applyBorder="1"/>
    <xf numFmtId="0" fontId="7" fillId="0" borderId="47" xfId="1" applyFont="1" applyBorder="1"/>
    <xf numFmtId="0" fontId="7" fillId="0" borderId="48" xfId="1" applyFont="1" applyBorder="1"/>
    <xf numFmtId="0" fontId="7" fillId="0" borderId="49" xfId="1" applyFont="1" applyBorder="1"/>
    <xf numFmtId="0" fontId="7" fillId="0" borderId="47" xfId="1" applyFont="1" applyBorder="1" applyAlignment="1">
      <alignment horizontal="center" vertical="center"/>
    </xf>
    <xf numFmtId="16" fontId="7" fillId="0" borderId="48" xfId="1" quotePrefix="1" applyNumberFormat="1" applyFont="1" applyBorder="1" applyAlignment="1">
      <alignment horizontal="center" vertical="center"/>
    </xf>
    <xf numFmtId="0" fontId="7" fillId="0" borderId="48" xfId="1" quotePrefix="1" applyFont="1" applyBorder="1" applyAlignment="1">
      <alignment horizontal="center" vertical="center"/>
    </xf>
    <xf numFmtId="0" fontId="7" fillId="0" borderId="49" xfId="1" quotePrefix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7" fillId="0" borderId="51" xfId="1" applyFont="1" applyBorder="1" applyAlignment="1">
      <alignment horizontal="center" vertical="center"/>
    </xf>
    <xf numFmtId="0" fontId="7" fillId="0" borderId="52" xfId="1" applyFont="1" applyBorder="1" applyAlignment="1">
      <alignment horizontal="center" vertical="center"/>
    </xf>
    <xf numFmtId="0" fontId="6" fillId="0" borderId="53" xfId="1" applyFont="1" applyBorder="1"/>
    <xf numFmtId="0" fontId="6" fillId="0" borderId="42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43" xfId="1" applyFont="1" applyBorder="1" applyAlignment="1">
      <alignment horizontal="center" vertical="center"/>
    </xf>
    <xf numFmtId="0" fontId="13" fillId="16" borderId="1" xfId="1" applyFont="1" applyFill="1" applyBorder="1" applyAlignment="1">
      <alignment horizontal="center" vertical="center"/>
    </xf>
    <xf numFmtId="0" fontId="6" fillId="0" borderId="54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55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7" fillId="0" borderId="49" xfId="1" applyFont="1" applyBorder="1" applyAlignment="1">
      <alignment horizontal="center" vertical="center"/>
    </xf>
    <xf numFmtId="0" fontId="4" fillId="0" borderId="0" xfId="1" applyFont="1"/>
    <xf numFmtId="0" fontId="7" fillId="0" borderId="36" xfId="1" applyFont="1" applyBorder="1"/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13" fillId="0" borderId="0" xfId="1" applyFont="1"/>
    <xf numFmtId="0" fontId="7" fillId="0" borderId="35" xfId="1" applyFont="1" applyBorder="1"/>
    <xf numFmtId="0" fontId="7" fillId="0" borderId="13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0" borderId="37" xfId="1" applyFont="1" applyBorder="1"/>
    <xf numFmtId="0" fontId="14" fillId="0" borderId="32" xfId="1" applyFont="1" applyBorder="1" applyAlignment="1">
      <alignment horizontal="center" vertical="center"/>
    </xf>
    <xf numFmtId="0" fontId="13" fillId="0" borderId="28" xfId="1" applyFont="1" applyBorder="1" applyAlignment="1">
      <alignment horizontal="center" vertical="center"/>
    </xf>
    <xf numFmtId="0" fontId="13" fillId="8" borderId="1" xfId="1" applyFont="1" applyFill="1" applyBorder="1" applyAlignment="1">
      <alignment horizontal="center" vertical="center"/>
    </xf>
    <xf numFmtId="0" fontId="13" fillId="8" borderId="47" xfId="1" applyFont="1" applyFill="1" applyBorder="1" applyAlignment="1">
      <alignment horizontal="center" vertical="center"/>
    </xf>
    <xf numFmtId="0" fontId="13" fillId="8" borderId="49" xfId="1" applyFont="1" applyFill="1" applyBorder="1" applyAlignment="1">
      <alignment horizontal="center" vertical="center"/>
    </xf>
    <xf numFmtId="0" fontId="6" fillId="5" borderId="0" xfId="1" applyFont="1" applyFill="1"/>
    <xf numFmtId="0" fontId="13" fillId="18" borderId="1" xfId="1" applyFont="1" applyFill="1" applyBorder="1"/>
    <xf numFmtId="0" fontId="7" fillId="0" borderId="10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21" xfId="1" applyFont="1" applyBorder="1" applyAlignment="1">
      <alignment horizontal="center"/>
    </xf>
    <xf numFmtId="0" fontId="7" fillId="0" borderId="56" xfId="1" applyFont="1" applyBorder="1" applyAlignment="1">
      <alignment horizontal="center"/>
    </xf>
    <xf numFmtId="0" fontId="2" fillId="0" borderId="57" xfId="1" applyBorder="1"/>
    <xf numFmtId="0" fontId="2" fillId="0" borderId="58" xfId="1" applyBorder="1"/>
    <xf numFmtId="0" fontId="11" fillId="0" borderId="0" xfId="11" applyFont="1"/>
    <xf numFmtId="0" fontId="18" fillId="3" borderId="1" xfId="1" applyFont="1" applyFill="1" applyBorder="1" applyAlignment="1">
      <alignment horizontal="center"/>
    </xf>
    <xf numFmtId="0" fontId="18" fillId="3" borderId="3" xfId="1" applyFont="1" applyFill="1" applyBorder="1" applyAlignment="1">
      <alignment horizontal="center"/>
    </xf>
    <xf numFmtId="0" fontId="18" fillId="15" borderId="1" xfId="1" applyFont="1" applyFill="1" applyBorder="1" applyAlignment="1">
      <alignment horizontal="center"/>
    </xf>
    <xf numFmtId="0" fontId="18" fillId="15" borderId="3" xfId="1" applyFont="1" applyFill="1" applyBorder="1" applyAlignment="1">
      <alignment horizontal="center"/>
    </xf>
    <xf numFmtId="0" fontId="13" fillId="17" borderId="1" xfId="1" applyFont="1" applyFill="1" applyBorder="1" applyAlignment="1">
      <alignment horizontal="center" vertical="center"/>
    </xf>
    <xf numFmtId="0" fontId="13" fillId="17" borderId="2" xfId="1" applyFont="1" applyFill="1" applyBorder="1" applyAlignment="1">
      <alignment horizontal="center" vertical="center"/>
    </xf>
    <xf numFmtId="0" fontId="13" fillId="17" borderId="3" xfId="1" applyFont="1" applyFill="1" applyBorder="1" applyAlignment="1">
      <alignment horizontal="center" vertical="center"/>
    </xf>
    <xf numFmtId="0" fontId="13" fillId="17" borderId="1" xfId="1" applyFont="1" applyFill="1" applyBorder="1" applyAlignment="1">
      <alignment horizontal="center"/>
    </xf>
    <xf numFmtId="0" fontId="13" fillId="17" borderId="2" xfId="1" applyFont="1" applyFill="1" applyBorder="1" applyAlignment="1">
      <alignment horizontal="center"/>
    </xf>
    <xf numFmtId="0" fontId="13" fillId="17" borderId="3" xfId="1" applyFont="1" applyFill="1" applyBorder="1" applyAlignment="1">
      <alignment horizontal="center"/>
    </xf>
    <xf numFmtId="0" fontId="2" fillId="0" borderId="5" xfId="1" applyBorder="1" applyAlignment="1">
      <alignment horizontal="left" vertical="center"/>
    </xf>
    <xf numFmtId="0" fontId="2" fillId="0" borderId="9" xfId="1" applyBorder="1" applyAlignment="1">
      <alignment horizontal="left" vertical="center"/>
    </xf>
    <xf numFmtId="0" fontId="2" fillId="0" borderId="38" xfId="1" applyBorder="1" applyAlignment="1">
      <alignment horizontal="left" vertical="center"/>
    </xf>
    <xf numFmtId="0" fontId="3" fillId="2" borderId="1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4" fillId="3" borderId="1" xfId="1" quotePrefix="1" applyFont="1" applyFill="1" applyBorder="1" applyAlignment="1">
      <alignment horizontal="center"/>
    </xf>
    <xf numFmtId="0" fontId="4" fillId="3" borderId="2" xfId="1" quotePrefix="1" applyFont="1" applyFill="1" applyBorder="1" applyAlignment="1">
      <alignment horizontal="center"/>
    </xf>
    <xf numFmtId="0" fontId="4" fillId="3" borderId="3" xfId="1" quotePrefix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4" fillId="4" borderId="2" xfId="1" applyFont="1" applyFill="1" applyBorder="1" applyAlignment="1">
      <alignment horizontal="center"/>
    </xf>
    <xf numFmtId="0" fontId="4" fillId="4" borderId="3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left"/>
    </xf>
    <xf numFmtId="0" fontId="4" fillId="3" borderId="3" xfId="1" applyFont="1" applyFill="1" applyBorder="1" applyAlignment="1">
      <alignment horizontal="left"/>
    </xf>
    <xf numFmtId="0" fontId="7" fillId="6" borderId="1" xfId="1" applyFont="1" applyFill="1" applyBorder="1" applyAlignment="1">
      <alignment horizontal="left"/>
    </xf>
    <xf numFmtId="0" fontId="7" fillId="6" borderId="2" xfId="1" applyFont="1" applyFill="1" applyBorder="1" applyAlignment="1">
      <alignment horizontal="left"/>
    </xf>
    <xf numFmtId="0" fontId="7" fillId="6" borderId="3" xfId="1" applyFont="1" applyFill="1" applyBorder="1" applyAlignment="1">
      <alignment horizontal="left"/>
    </xf>
    <xf numFmtId="0" fontId="7" fillId="10" borderId="1" xfId="1" applyFont="1" applyFill="1" applyBorder="1" applyAlignment="1">
      <alignment horizontal="center"/>
    </xf>
    <xf numFmtId="0" fontId="7" fillId="10" borderId="3" xfId="1" applyFont="1" applyFill="1" applyBorder="1" applyAlignment="1">
      <alignment horizontal="center"/>
    </xf>
  </cellXfs>
  <cellStyles count="12">
    <cellStyle name="Normal" xfId="0" builtinId="0"/>
    <cellStyle name="Normal 10" xfId="6" xr:uid="{258D105F-B476-49C4-B568-1F64EC8332C0}"/>
    <cellStyle name="Normal 11" xfId="9" xr:uid="{F463C189-B9BB-4782-B5BF-FF5DDB8E4D97}"/>
    <cellStyle name="Normal 12" xfId="7" xr:uid="{FDE9E2DA-402C-402A-8E31-6E78E266737B}"/>
    <cellStyle name="Normal 2 2 2" xfId="1" xr:uid="{9C59381C-F9FA-4AFD-A48A-5931CA77C66D}"/>
    <cellStyle name="Normal 2 2 2 2" xfId="5" xr:uid="{FB32604F-2FFE-48FB-A8B4-95F04D9BA683}"/>
    <cellStyle name="Normal 2 3" xfId="3" xr:uid="{7CD72405-7173-4DD2-96F2-7001E7A2EAF7}"/>
    <cellStyle name="Normal 2 4" xfId="10" xr:uid="{8FC4F748-5726-478C-9536-7994B6C6F486}"/>
    <cellStyle name="Normal 5" xfId="2" xr:uid="{9BA86573-E792-4256-9661-9828B68A3E6F}"/>
    <cellStyle name="Normal 5 2 3" xfId="4" xr:uid="{FA2D6977-BCAB-4A57-BDD8-993396263A8B}"/>
    <cellStyle name="Normal 5 24" xfId="11" xr:uid="{075415AA-F3C6-49F7-8D97-585129542693}"/>
    <cellStyle name="Normal 5 3" xfId="8" xr:uid="{A71F7CDB-E9F7-41E2-82B0-9A0E125865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7E3C-411B-4EAA-91BD-39AF71D540C0}">
  <dimension ref="A1:AL429"/>
  <sheetViews>
    <sheetView tabSelected="1" workbookViewId="0">
      <selection activeCell="Z6" sqref="Z6:Z12"/>
    </sheetView>
  </sheetViews>
  <sheetFormatPr defaultColWidth="9.109375" defaultRowHeight="13.2" x14ac:dyDescent="0.25"/>
  <cols>
    <col min="1" max="1" width="12.44140625" style="1" customWidth="1"/>
    <col min="2" max="2" width="4.33203125" style="1" customWidth="1"/>
    <col min="3" max="3" width="8.5546875" style="1" customWidth="1"/>
    <col min="4" max="4" width="4.5546875" style="1" customWidth="1"/>
    <col min="5" max="5" width="3.44140625" style="1" customWidth="1"/>
    <col min="6" max="6" width="4.88671875" style="1" customWidth="1"/>
    <col min="7" max="7" width="5.5546875" style="1" customWidth="1"/>
    <col min="8" max="8" width="19.5546875" style="1" customWidth="1"/>
    <col min="9" max="9" width="12.109375" style="1" customWidth="1"/>
    <col min="10" max="10" width="3.33203125" style="1" customWidth="1"/>
    <col min="11" max="13" width="3.44140625" style="1" customWidth="1"/>
    <col min="14" max="14" width="3" style="1" customWidth="1"/>
    <col min="15" max="15" width="3.109375" style="1" customWidth="1"/>
    <col min="16" max="17" width="3.44140625" style="1" customWidth="1"/>
    <col min="18" max="18" width="3.33203125" style="1" customWidth="1"/>
    <col min="19" max="19" width="3.109375" style="1" customWidth="1"/>
    <col min="20" max="20" width="3.33203125" style="1" customWidth="1"/>
    <col min="21" max="21" width="3.109375" style="1" customWidth="1"/>
    <col min="22" max="23" width="3" style="1" customWidth="1"/>
    <col min="24" max="24" width="13.5546875" style="1" customWidth="1"/>
    <col min="25" max="16384" width="9.109375" style="1"/>
  </cols>
  <sheetData>
    <row r="1" spans="1:38" ht="13.8" thickBot="1" x14ac:dyDescent="0.3">
      <c r="A1" s="466" t="s">
        <v>0</v>
      </c>
      <c r="B1" s="467"/>
      <c r="C1" s="467"/>
      <c r="D1" s="468"/>
      <c r="F1" s="469" t="s">
        <v>1</v>
      </c>
      <c r="G1" s="470"/>
      <c r="H1" s="470"/>
      <c r="I1" s="470"/>
      <c r="J1" s="470"/>
      <c r="K1" s="471"/>
      <c r="R1" s="472" t="s">
        <v>2</v>
      </c>
      <c r="S1" s="473"/>
      <c r="T1" s="473"/>
      <c r="U1" s="473"/>
      <c r="V1" s="473"/>
      <c r="W1" s="473"/>
      <c r="X1" s="474"/>
    </row>
    <row r="2" spans="1:38" ht="4.95" customHeight="1" thickBot="1" x14ac:dyDescent="0.3"/>
    <row r="3" spans="1:38" ht="13.8" thickBot="1" x14ac:dyDescent="0.3">
      <c r="A3" s="475" t="s">
        <v>3</v>
      </c>
      <c r="B3" s="476"/>
      <c r="C3" s="2"/>
      <c r="D3" s="3"/>
      <c r="E3" s="3"/>
      <c r="F3" s="3"/>
      <c r="G3" s="3"/>
      <c r="H3" s="3"/>
      <c r="I3" s="3"/>
      <c r="J3" s="3" t="s">
        <v>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8" ht="13.8" thickBot="1" x14ac:dyDescent="0.3">
      <c r="A4" s="477" t="s">
        <v>5</v>
      </c>
      <c r="B4" s="478"/>
      <c r="C4" s="478"/>
      <c r="D4" s="478"/>
      <c r="E4" s="478"/>
      <c r="F4" s="479"/>
      <c r="G4" s="4"/>
      <c r="H4" s="5"/>
      <c r="I4" s="5"/>
      <c r="J4" s="6" t="s">
        <v>6</v>
      </c>
      <c r="K4" s="6"/>
      <c r="L4" s="6"/>
      <c r="M4" s="6"/>
      <c r="N4" s="6"/>
      <c r="O4" s="6"/>
      <c r="P4" s="7"/>
      <c r="Q4" s="6"/>
      <c r="R4" s="6"/>
      <c r="S4" s="8"/>
      <c r="T4" s="6"/>
      <c r="U4" s="6"/>
      <c r="V4" s="6"/>
      <c r="W4" s="6"/>
      <c r="X4" s="9"/>
    </row>
    <row r="5" spans="1:38" ht="13.8" thickBot="1" x14ac:dyDescent="0.3">
      <c r="A5" s="10"/>
      <c r="B5" s="3"/>
      <c r="C5" s="3"/>
      <c r="D5" s="11"/>
      <c r="E5" s="3"/>
      <c r="F5" s="12"/>
      <c r="G5" s="3"/>
      <c r="H5" s="13"/>
      <c r="I5" s="14" t="s">
        <v>7</v>
      </c>
      <c r="J5" s="15" t="s">
        <v>8</v>
      </c>
      <c r="K5" s="16"/>
      <c r="L5" s="16"/>
      <c r="M5" s="16"/>
      <c r="N5" s="480" t="s">
        <v>9</v>
      </c>
      <c r="O5" s="481"/>
      <c r="P5" s="18" t="s">
        <v>10</v>
      </c>
      <c r="Q5" s="18"/>
      <c r="R5" s="18"/>
      <c r="S5" s="19"/>
      <c r="T5" s="20" t="s">
        <v>11</v>
      </c>
      <c r="U5" s="20"/>
      <c r="V5" s="20"/>
      <c r="W5" s="20"/>
      <c r="X5" s="14" t="s">
        <v>12</v>
      </c>
    </row>
    <row r="6" spans="1:38" ht="13.8" thickBot="1" x14ac:dyDescent="0.3">
      <c r="A6" s="21" t="s">
        <v>13</v>
      </c>
      <c r="B6" s="22" t="s">
        <v>14</v>
      </c>
      <c r="C6" s="22" t="s">
        <v>15</v>
      </c>
      <c r="D6" s="21" t="s">
        <v>16</v>
      </c>
      <c r="E6" s="21" t="s">
        <v>17</v>
      </c>
      <c r="F6" s="23" t="s">
        <v>18</v>
      </c>
      <c r="G6" s="24" t="s">
        <v>19</v>
      </c>
      <c r="H6" s="21" t="s">
        <v>20</v>
      </c>
      <c r="I6" s="24" t="s">
        <v>21</v>
      </c>
      <c r="J6" s="21" t="s">
        <v>22</v>
      </c>
      <c r="K6" s="21" t="s">
        <v>23</v>
      </c>
      <c r="L6" s="21" t="s">
        <v>24</v>
      </c>
      <c r="M6" s="24" t="s">
        <v>25</v>
      </c>
      <c r="N6" s="25" t="s">
        <v>26</v>
      </c>
      <c r="O6" s="17" t="s">
        <v>27</v>
      </c>
      <c r="P6" s="26" t="s">
        <v>22</v>
      </c>
      <c r="Q6" s="27" t="s">
        <v>23</v>
      </c>
      <c r="R6" s="27" t="s">
        <v>24</v>
      </c>
      <c r="S6" s="27" t="s">
        <v>25</v>
      </c>
      <c r="T6" s="28" t="s">
        <v>22</v>
      </c>
      <c r="U6" s="29" t="s">
        <v>23</v>
      </c>
      <c r="V6" s="29" t="s">
        <v>24</v>
      </c>
      <c r="W6" s="29" t="s">
        <v>25</v>
      </c>
      <c r="X6" s="23" t="s">
        <v>28</v>
      </c>
      <c r="Z6" s="1" t="str" cm="1">
        <f t="array" ref="Z6:Z12">_xlfn.UNIQUE(E7:E138)</f>
        <v>SU</v>
      </c>
    </row>
    <row r="7" spans="1:38" s="47" customFormat="1" x14ac:dyDescent="0.25">
      <c r="A7" s="30" t="s">
        <v>29</v>
      </c>
      <c r="B7" s="31">
        <v>9</v>
      </c>
      <c r="C7" s="32"/>
      <c r="D7" s="33" t="s">
        <v>30</v>
      </c>
      <c r="E7" s="34" t="s">
        <v>31</v>
      </c>
      <c r="F7" s="35" t="s">
        <v>32</v>
      </c>
      <c r="G7" s="36" t="s">
        <v>33</v>
      </c>
      <c r="H7" s="37" t="s">
        <v>34</v>
      </c>
      <c r="I7" s="38" t="s">
        <v>35</v>
      </c>
      <c r="J7" s="39"/>
      <c r="K7" s="40"/>
      <c r="L7" s="40"/>
      <c r="M7" s="41"/>
      <c r="N7" s="42"/>
      <c r="O7" s="43"/>
      <c r="P7" s="42"/>
      <c r="Q7" s="40"/>
      <c r="R7" s="40">
        <v>1</v>
      </c>
      <c r="S7" s="43"/>
      <c r="T7" s="44"/>
      <c r="U7" s="40"/>
      <c r="V7" s="40"/>
      <c r="W7" s="41"/>
      <c r="X7" s="45" t="s">
        <v>36</v>
      </c>
      <c r="Y7" s="46"/>
      <c r="Z7" s="47" t="str">
        <v>TH</v>
      </c>
      <c r="AL7" s="46"/>
    </row>
    <row r="8" spans="1:38" s="47" customFormat="1" x14ac:dyDescent="0.25">
      <c r="A8" s="48" t="s">
        <v>29</v>
      </c>
      <c r="B8" s="49" t="s">
        <v>37</v>
      </c>
      <c r="C8" s="50"/>
      <c r="D8" s="50" t="s">
        <v>38</v>
      </c>
      <c r="E8" s="51" t="s">
        <v>39</v>
      </c>
      <c r="F8" s="50" t="s">
        <v>40</v>
      </c>
      <c r="G8" s="52" t="s">
        <v>33</v>
      </c>
      <c r="H8" s="53" t="s">
        <v>41</v>
      </c>
      <c r="I8" s="37" t="s">
        <v>42</v>
      </c>
      <c r="J8" s="54"/>
      <c r="K8" s="55"/>
      <c r="L8" s="55"/>
      <c r="M8" s="56"/>
      <c r="N8" s="57"/>
      <c r="O8" s="55"/>
      <c r="P8" s="57"/>
      <c r="Q8" s="55"/>
      <c r="R8" s="55"/>
      <c r="S8" s="58"/>
      <c r="T8" s="54"/>
      <c r="U8" s="55"/>
      <c r="V8" s="55">
        <v>1</v>
      </c>
      <c r="W8" s="56"/>
      <c r="X8" s="37" t="s">
        <v>43</v>
      </c>
      <c r="Z8" s="47" t="str">
        <v>SA</v>
      </c>
      <c r="AL8" s="46"/>
    </row>
    <row r="9" spans="1:38" s="47" customFormat="1" ht="13.5" customHeight="1" x14ac:dyDescent="0.25">
      <c r="A9" s="30" t="s">
        <v>44</v>
      </c>
      <c r="B9" s="49">
        <v>15</v>
      </c>
      <c r="C9" s="59"/>
      <c r="D9" s="59" t="s">
        <v>45</v>
      </c>
      <c r="E9" s="51" t="s">
        <v>46</v>
      </c>
      <c r="F9" s="50" t="s">
        <v>47</v>
      </c>
      <c r="G9" s="52" t="s">
        <v>48</v>
      </c>
      <c r="H9" s="53" t="s">
        <v>49</v>
      </c>
      <c r="I9" s="60" t="s">
        <v>50</v>
      </c>
      <c r="J9" s="61"/>
      <c r="K9" s="62"/>
      <c r="L9" s="62"/>
      <c r="M9" s="63"/>
      <c r="N9" s="64"/>
      <c r="O9" s="62"/>
      <c r="P9" s="64">
        <v>1</v>
      </c>
      <c r="Q9" s="62">
        <v>2</v>
      </c>
      <c r="R9" s="62"/>
      <c r="S9" s="65"/>
      <c r="T9" s="61"/>
      <c r="U9" s="62"/>
      <c r="V9" s="62"/>
      <c r="W9" s="63"/>
      <c r="X9" s="66" t="s">
        <v>51</v>
      </c>
      <c r="Z9" s="46" t="str">
        <v>FR</v>
      </c>
      <c r="AA9" s="46"/>
      <c r="AB9" s="46"/>
      <c r="AC9" s="46"/>
      <c r="AD9" s="46"/>
      <c r="AE9" s="46"/>
      <c r="AF9" s="46"/>
      <c r="AG9" s="46"/>
      <c r="AH9" s="46"/>
      <c r="AI9" s="46"/>
      <c r="AJ9" s="46"/>
    </row>
    <row r="10" spans="1:38" s="47" customFormat="1" x14ac:dyDescent="0.25">
      <c r="A10" s="30" t="s">
        <v>44</v>
      </c>
      <c r="B10" s="49" t="s">
        <v>52</v>
      </c>
      <c r="C10" s="67" t="s">
        <v>53</v>
      </c>
      <c r="D10" s="68" t="s">
        <v>54</v>
      </c>
      <c r="E10" s="51" t="s">
        <v>46</v>
      </c>
      <c r="F10" s="50" t="s">
        <v>55</v>
      </c>
      <c r="G10" s="52" t="s">
        <v>33</v>
      </c>
      <c r="H10" s="69" t="s">
        <v>56</v>
      </c>
      <c r="I10" s="37" t="s">
        <v>42</v>
      </c>
      <c r="J10" s="70"/>
      <c r="K10" s="55"/>
      <c r="L10" s="54">
        <v>1</v>
      </c>
      <c r="M10" s="56"/>
      <c r="N10" s="71">
        <v>1</v>
      </c>
      <c r="O10" s="72"/>
      <c r="P10" s="57"/>
      <c r="Q10" s="55"/>
      <c r="R10" s="55"/>
      <c r="S10" s="58"/>
      <c r="T10" s="57"/>
      <c r="U10" s="55"/>
      <c r="V10" s="55"/>
      <c r="W10" s="58"/>
      <c r="X10" s="37" t="s">
        <v>57</v>
      </c>
      <c r="Z10" s="1" t="str">
        <v>TU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8" s="47" customFormat="1" x14ac:dyDescent="0.25">
      <c r="A11" s="30" t="s">
        <v>44</v>
      </c>
      <c r="B11" s="49" t="s">
        <v>58</v>
      </c>
      <c r="C11" s="73" t="s">
        <v>59</v>
      </c>
      <c r="D11" s="59" t="s">
        <v>60</v>
      </c>
      <c r="E11" s="51" t="s">
        <v>46</v>
      </c>
      <c r="F11" s="50" t="s">
        <v>61</v>
      </c>
      <c r="G11" s="52" t="s">
        <v>62</v>
      </c>
      <c r="H11" s="53" t="s">
        <v>63</v>
      </c>
      <c r="I11" s="37" t="s">
        <v>64</v>
      </c>
      <c r="J11" s="61">
        <v>1</v>
      </c>
      <c r="K11" s="62"/>
      <c r="L11" s="62"/>
      <c r="M11" s="56"/>
      <c r="N11" s="74">
        <v>1</v>
      </c>
      <c r="O11" s="75"/>
      <c r="P11" s="64"/>
      <c r="Q11" s="62">
        <v>4</v>
      </c>
      <c r="R11" s="62"/>
      <c r="S11" s="65"/>
      <c r="T11" s="61">
        <v>1</v>
      </c>
      <c r="U11" s="62">
        <v>1</v>
      </c>
      <c r="V11" s="62"/>
      <c r="W11" s="63"/>
      <c r="X11" s="66" t="s">
        <v>65</v>
      </c>
      <c r="Y11" s="1"/>
      <c r="Z11" s="47" t="str">
        <v>M</v>
      </c>
      <c r="AK11" s="1"/>
    </row>
    <row r="12" spans="1:38" s="46" customFormat="1" ht="13.2" customHeight="1" x14ac:dyDescent="0.25">
      <c r="A12" s="76" t="s">
        <v>66</v>
      </c>
      <c r="B12" s="77">
        <v>1</v>
      </c>
      <c r="C12" s="78" t="s">
        <v>67</v>
      </c>
      <c r="D12" s="79" t="s">
        <v>45</v>
      </c>
      <c r="E12" s="80" t="s">
        <v>46</v>
      </c>
      <c r="F12" s="81" t="s">
        <v>68</v>
      </c>
      <c r="G12" s="82" t="s">
        <v>69</v>
      </c>
      <c r="H12" s="83" t="s">
        <v>70</v>
      </c>
      <c r="I12" s="84" t="s">
        <v>35</v>
      </c>
      <c r="J12" s="85"/>
      <c r="K12" s="40"/>
      <c r="L12" s="86">
        <v>1</v>
      </c>
      <c r="M12" s="87"/>
      <c r="N12" s="88">
        <v>1</v>
      </c>
      <c r="O12" s="89"/>
      <c r="P12" s="88"/>
      <c r="Q12" s="89"/>
      <c r="R12" s="89"/>
      <c r="S12" s="90"/>
      <c r="T12" s="86"/>
      <c r="U12" s="89"/>
      <c r="V12" s="89"/>
      <c r="W12" s="87"/>
      <c r="X12" s="91" t="s">
        <v>71</v>
      </c>
      <c r="Y12" s="1"/>
      <c r="Z12" s="47" t="str">
        <v>W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</row>
    <row r="13" spans="1:38" s="47" customFormat="1" x14ac:dyDescent="0.25">
      <c r="A13" s="92" t="s">
        <v>72</v>
      </c>
      <c r="B13" s="93">
        <v>3</v>
      </c>
      <c r="C13" s="94" t="s">
        <v>73</v>
      </c>
      <c r="D13" s="95" t="s">
        <v>74</v>
      </c>
      <c r="E13" s="96" t="s">
        <v>46</v>
      </c>
      <c r="F13" s="97" t="s">
        <v>75</v>
      </c>
      <c r="G13" s="98" t="s">
        <v>33</v>
      </c>
      <c r="H13" s="99" t="s">
        <v>76</v>
      </c>
      <c r="I13" s="38" t="s">
        <v>35</v>
      </c>
      <c r="J13" s="100"/>
      <c r="K13" s="101"/>
      <c r="L13" s="102">
        <v>1</v>
      </c>
      <c r="M13" s="103"/>
      <c r="N13" s="104">
        <v>1</v>
      </c>
      <c r="O13" s="105"/>
      <c r="P13" s="104">
        <v>1</v>
      </c>
      <c r="Q13" s="105"/>
      <c r="R13" s="105">
        <v>1</v>
      </c>
      <c r="S13" s="106"/>
      <c r="T13" s="102"/>
      <c r="U13" s="105"/>
      <c r="V13" s="105"/>
      <c r="W13" s="103"/>
      <c r="X13" s="107" t="s">
        <v>36</v>
      </c>
    </row>
    <row r="14" spans="1:38" ht="13.2" customHeight="1" x14ac:dyDescent="0.25">
      <c r="A14" s="108" t="s">
        <v>72</v>
      </c>
      <c r="B14" s="109">
        <v>6</v>
      </c>
      <c r="C14" s="110"/>
      <c r="D14" s="110" t="s">
        <v>77</v>
      </c>
      <c r="E14" s="111" t="s">
        <v>78</v>
      </c>
      <c r="F14" s="112" t="s">
        <v>79</v>
      </c>
      <c r="G14" s="113" t="s">
        <v>80</v>
      </c>
      <c r="H14" s="114" t="s">
        <v>81</v>
      </c>
      <c r="I14" s="38" t="s">
        <v>35</v>
      </c>
      <c r="J14" s="85"/>
      <c r="K14" s="40"/>
      <c r="L14" s="115"/>
      <c r="M14" s="87"/>
      <c r="N14" s="88"/>
      <c r="O14" s="116"/>
      <c r="P14" s="88"/>
      <c r="Q14" s="116"/>
      <c r="R14" s="89"/>
      <c r="S14" s="90"/>
      <c r="T14" s="86"/>
      <c r="U14" s="89"/>
      <c r="V14" s="89">
        <v>1</v>
      </c>
      <c r="W14" s="87"/>
      <c r="X14" s="117" t="s">
        <v>57</v>
      </c>
      <c r="Y14" s="47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L14" s="47"/>
    </row>
    <row r="15" spans="1:38" x14ac:dyDescent="0.25">
      <c r="A15" s="108" t="s">
        <v>72</v>
      </c>
      <c r="B15" s="109">
        <v>10</v>
      </c>
      <c r="C15" s="110"/>
      <c r="D15" s="110" t="s">
        <v>54</v>
      </c>
      <c r="E15" s="111" t="s">
        <v>46</v>
      </c>
      <c r="F15" s="112" t="s">
        <v>82</v>
      </c>
      <c r="G15" s="118" t="s">
        <v>80</v>
      </c>
      <c r="H15" s="114" t="s">
        <v>81</v>
      </c>
      <c r="I15" s="38" t="s">
        <v>35</v>
      </c>
      <c r="J15" s="85"/>
      <c r="K15" s="40"/>
      <c r="L15" s="115"/>
      <c r="M15" s="87"/>
      <c r="N15" s="88"/>
      <c r="O15" s="116"/>
      <c r="P15" s="88"/>
      <c r="Q15" s="116"/>
      <c r="R15" s="89">
        <v>1</v>
      </c>
      <c r="S15" s="90"/>
      <c r="T15" s="86"/>
      <c r="U15" s="89"/>
      <c r="V15" s="89"/>
      <c r="W15" s="87"/>
      <c r="X15" s="117" t="s">
        <v>43</v>
      </c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6"/>
      <c r="AL15" s="47"/>
    </row>
    <row r="16" spans="1:38" x14ac:dyDescent="0.25">
      <c r="A16" s="119" t="s">
        <v>72</v>
      </c>
      <c r="B16" s="33">
        <v>17</v>
      </c>
      <c r="C16" s="120"/>
      <c r="D16" s="120" t="s">
        <v>83</v>
      </c>
      <c r="E16" s="121" t="s">
        <v>84</v>
      </c>
      <c r="F16" s="122" t="s">
        <v>85</v>
      </c>
      <c r="G16" s="123" t="s">
        <v>33</v>
      </c>
      <c r="H16" s="124" t="s">
        <v>86</v>
      </c>
      <c r="I16" s="38" t="s">
        <v>35</v>
      </c>
      <c r="J16" s="125"/>
      <c r="K16" s="126"/>
      <c r="L16" s="127"/>
      <c r="M16" s="128"/>
      <c r="N16" s="129"/>
      <c r="O16" s="126"/>
      <c r="P16" s="129"/>
      <c r="Q16" s="126"/>
      <c r="R16" s="126">
        <v>1</v>
      </c>
      <c r="S16" s="130"/>
      <c r="T16" s="127"/>
      <c r="U16" s="126"/>
      <c r="V16" s="126"/>
      <c r="W16" s="128"/>
      <c r="X16" s="131" t="s">
        <v>57</v>
      </c>
      <c r="AK16" s="47"/>
      <c r="AL16" s="47"/>
    </row>
    <row r="17" spans="1:38" s="47" customFormat="1" ht="13.2" customHeight="1" x14ac:dyDescent="0.25">
      <c r="A17" s="132" t="s">
        <v>72</v>
      </c>
      <c r="B17" s="133">
        <v>24</v>
      </c>
      <c r="C17" s="134"/>
      <c r="D17" s="134" t="s">
        <v>87</v>
      </c>
      <c r="E17" s="135" t="s">
        <v>31</v>
      </c>
      <c r="F17" s="136" t="s">
        <v>88</v>
      </c>
      <c r="G17" s="137" t="s">
        <v>89</v>
      </c>
      <c r="H17" s="138" t="s">
        <v>90</v>
      </c>
      <c r="I17" s="131" t="s">
        <v>91</v>
      </c>
      <c r="J17" s="139"/>
      <c r="K17" s="75"/>
      <c r="L17" s="75"/>
      <c r="M17" s="140"/>
      <c r="N17" s="74"/>
      <c r="O17" s="75"/>
      <c r="P17" s="74"/>
      <c r="Q17" s="75"/>
      <c r="R17" s="75"/>
      <c r="S17" s="141"/>
      <c r="T17" s="139">
        <v>1</v>
      </c>
      <c r="U17" s="75">
        <v>3</v>
      </c>
      <c r="V17" s="75"/>
      <c r="W17" s="140"/>
      <c r="X17" s="142" t="s">
        <v>92</v>
      </c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</row>
    <row r="18" spans="1:38" s="47" customFormat="1" x14ac:dyDescent="0.25">
      <c r="A18" s="92" t="s">
        <v>72</v>
      </c>
      <c r="B18" s="143">
        <v>31</v>
      </c>
      <c r="C18" s="144"/>
      <c r="D18" s="144" t="s">
        <v>93</v>
      </c>
      <c r="E18" s="145" t="s">
        <v>31</v>
      </c>
      <c r="F18" s="122" t="s">
        <v>61</v>
      </c>
      <c r="G18" s="123" t="s">
        <v>33</v>
      </c>
      <c r="H18" s="124" t="s">
        <v>94</v>
      </c>
      <c r="I18" s="131" t="s">
        <v>50</v>
      </c>
      <c r="J18" s="125"/>
      <c r="K18" s="126"/>
      <c r="L18" s="126"/>
      <c r="M18" s="128"/>
      <c r="N18" s="129"/>
      <c r="O18" s="126"/>
      <c r="P18" s="129"/>
      <c r="Q18" s="126"/>
      <c r="R18" s="121"/>
      <c r="S18" s="130"/>
      <c r="T18" s="127"/>
      <c r="U18" s="126">
        <v>2</v>
      </c>
      <c r="V18" s="126"/>
      <c r="W18" s="128"/>
      <c r="X18" s="131" t="s">
        <v>92</v>
      </c>
      <c r="Y18" s="1"/>
    </row>
    <row r="19" spans="1:38" s="47" customFormat="1" x14ac:dyDescent="0.25">
      <c r="A19" s="119" t="s">
        <v>72</v>
      </c>
      <c r="B19" s="33">
        <v>34</v>
      </c>
      <c r="C19" s="144"/>
      <c r="D19" s="144" t="s">
        <v>93</v>
      </c>
      <c r="E19" s="145" t="s">
        <v>31</v>
      </c>
      <c r="F19" s="122" t="s">
        <v>95</v>
      </c>
      <c r="G19" s="123" t="s">
        <v>33</v>
      </c>
      <c r="H19" s="124" t="s">
        <v>96</v>
      </c>
      <c r="I19" s="131" t="s">
        <v>35</v>
      </c>
      <c r="J19" s="125"/>
      <c r="K19" s="126"/>
      <c r="L19" s="126"/>
      <c r="M19" s="128"/>
      <c r="N19" s="129"/>
      <c r="O19" s="126"/>
      <c r="P19" s="129"/>
      <c r="Q19" s="126"/>
      <c r="R19" s="126">
        <v>1</v>
      </c>
      <c r="S19" s="130"/>
      <c r="T19" s="127"/>
      <c r="U19" s="126"/>
      <c r="V19" s="126"/>
      <c r="W19" s="128"/>
      <c r="X19" s="146" t="s">
        <v>43</v>
      </c>
      <c r="Y19" s="1"/>
      <c r="AL19" s="1"/>
    </row>
    <row r="20" spans="1:38" s="46" customFormat="1" ht="13.2" customHeight="1" x14ac:dyDescent="0.25">
      <c r="A20" s="119" t="s">
        <v>72</v>
      </c>
      <c r="B20" s="121">
        <v>35</v>
      </c>
      <c r="C20" s="144"/>
      <c r="D20" s="144" t="s">
        <v>93</v>
      </c>
      <c r="E20" s="145" t="s">
        <v>31</v>
      </c>
      <c r="F20" s="122" t="s">
        <v>97</v>
      </c>
      <c r="G20" s="123" t="s">
        <v>98</v>
      </c>
      <c r="H20" s="124" t="s">
        <v>99</v>
      </c>
      <c r="I20" s="131" t="s">
        <v>35</v>
      </c>
      <c r="J20" s="125"/>
      <c r="K20" s="126"/>
      <c r="L20" s="126"/>
      <c r="M20" s="128"/>
      <c r="N20" s="129"/>
      <c r="O20" s="126"/>
      <c r="P20" s="129"/>
      <c r="Q20" s="126"/>
      <c r="R20" s="126"/>
      <c r="S20" s="130"/>
      <c r="T20" s="127"/>
      <c r="U20" s="126"/>
      <c r="V20" s="126">
        <v>1</v>
      </c>
      <c r="W20" s="128"/>
      <c r="X20" s="131" t="s">
        <v>43</v>
      </c>
      <c r="Y20" s="47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47"/>
      <c r="AL20" s="47"/>
    </row>
    <row r="21" spans="1:38" s="47" customFormat="1" x14ac:dyDescent="0.25">
      <c r="A21" s="119" t="s">
        <v>72</v>
      </c>
      <c r="B21" s="33">
        <v>36</v>
      </c>
      <c r="C21" s="144"/>
      <c r="D21" s="144" t="s">
        <v>100</v>
      </c>
      <c r="E21" s="145" t="s">
        <v>26</v>
      </c>
      <c r="F21" s="122" t="s">
        <v>101</v>
      </c>
      <c r="G21" s="123" t="s">
        <v>33</v>
      </c>
      <c r="H21" s="124" t="s">
        <v>102</v>
      </c>
      <c r="I21" s="131" t="s">
        <v>35</v>
      </c>
      <c r="J21" s="125"/>
      <c r="K21" s="126"/>
      <c r="L21" s="126"/>
      <c r="M21" s="128"/>
      <c r="N21" s="129"/>
      <c r="O21" s="126"/>
      <c r="P21" s="129"/>
      <c r="Q21" s="126"/>
      <c r="R21" s="126"/>
      <c r="S21" s="130"/>
      <c r="T21" s="127"/>
      <c r="U21" s="126"/>
      <c r="V21" s="126">
        <v>1</v>
      </c>
      <c r="W21" s="128"/>
      <c r="X21" s="131" t="s">
        <v>103</v>
      </c>
    </row>
    <row r="22" spans="1:38" s="46" customFormat="1" x14ac:dyDescent="0.25">
      <c r="A22" s="119" t="s">
        <v>72</v>
      </c>
      <c r="B22" s="33">
        <v>38</v>
      </c>
      <c r="C22" s="120"/>
      <c r="D22" s="120" t="s">
        <v>104</v>
      </c>
      <c r="E22" s="121" t="s">
        <v>46</v>
      </c>
      <c r="F22" s="122" t="s">
        <v>105</v>
      </c>
      <c r="G22" s="147" t="s">
        <v>33</v>
      </c>
      <c r="H22" s="148" t="s">
        <v>106</v>
      </c>
      <c r="I22" s="131" t="s">
        <v>35</v>
      </c>
      <c r="J22" s="125"/>
      <c r="K22" s="126"/>
      <c r="L22" s="126"/>
      <c r="M22" s="128"/>
      <c r="N22" s="129"/>
      <c r="O22" s="126"/>
      <c r="P22" s="129"/>
      <c r="Q22" s="126"/>
      <c r="R22" s="126"/>
      <c r="S22" s="130"/>
      <c r="T22" s="127"/>
      <c r="U22" s="126"/>
      <c r="V22" s="126">
        <v>1</v>
      </c>
      <c r="W22" s="128"/>
      <c r="X22" s="131" t="s">
        <v>107</v>
      </c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</row>
    <row r="23" spans="1:38" s="47" customFormat="1" x14ac:dyDescent="0.25">
      <c r="A23" s="92" t="s">
        <v>72</v>
      </c>
      <c r="B23" s="149" t="s">
        <v>108</v>
      </c>
      <c r="C23" s="149"/>
      <c r="D23" s="149" t="s">
        <v>74</v>
      </c>
      <c r="E23" s="150" t="s">
        <v>46</v>
      </c>
      <c r="F23" s="151" t="s">
        <v>109</v>
      </c>
      <c r="G23" s="147" t="s">
        <v>80</v>
      </c>
      <c r="H23" s="152" t="s">
        <v>81</v>
      </c>
      <c r="I23" s="84" t="s">
        <v>50</v>
      </c>
      <c r="J23" s="153"/>
      <c r="K23" s="101"/>
      <c r="L23" s="101"/>
      <c r="M23" s="154"/>
      <c r="N23" s="155"/>
      <c r="O23" s="101"/>
      <c r="P23" s="155"/>
      <c r="Q23" s="101"/>
      <c r="R23" s="101"/>
      <c r="S23" s="156"/>
      <c r="T23" s="157">
        <v>1</v>
      </c>
      <c r="U23" s="101"/>
      <c r="V23" s="101"/>
      <c r="W23" s="154"/>
      <c r="X23" s="38" t="s">
        <v>92</v>
      </c>
      <c r="Y23" s="1"/>
    </row>
    <row r="24" spans="1:38" s="47" customFormat="1" x14ac:dyDescent="0.25">
      <c r="A24" s="119" t="s">
        <v>72</v>
      </c>
      <c r="B24" s="120" t="s">
        <v>37</v>
      </c>
      <c r="C24" s="120"/>
      <c r="D24" s="120" t="s">
        <v>74</v>
      </c>
      <c r="E24" s="121" t="s">
        <v>46</v>
      </c>
      <c r="F24" s="122" t="s">
        <v>110</v>
      </c>
      <c r="G24" s="123" t="s">
        <v>111</v>
      </c>
      <c r="H24" s="124" t="s">
        <v>112</v>
      </c>
      <c r="I24" s="131" t="s">
        <v>35</v>
      </c>
      <c r="J24" s="125"/>
      <c r="K24" s="126"/>
      <c r="L24" s="126"/>
      <c r="M24" s="128"/>
      <c r="N24" s="129"/>
      <c r="O24" s="126"/>
      <c r="P24" s="129"/>
      <c r="Q24" s="126"/>
      <c r="R24" s="126">
        <v>1</v>
      </c>
      <c r="S24" s="130"/>
      <c r="T24" s="127"/>
      <c r="U24" s="126"/>
      <c r="V24" s="126"/>
      <c r="W24" s="128"/>
      <c r="X24" s="131" t="s">
        <v>113</v>
      </c>
    </row>
    <row r="25" spans="1:38" s="47" customFormat="1" x14ac:dyDescent="0.25">
      <c r="A25" s="158" t="s">
        <v>114</v>
      </c>
      <c r="B25" s="31" t="s">
        <v>115</v>
      </c>
      <c r="C25" s="68"/>
      <c r="D25" s="68" t="s">
        <v>116</v>
      </c>
      <c r="E25" s="34" t="s">
        <v>117</v>
      </c>
      <c r="F25" s="159" t="s">
        <v>118</v>
      </c>
      <c r="G25" s="52" t="s">
        <v>33</v>
      </c>
      <c r="H25" s="160" t="s">
        <v>114</v>
      </c>
      <c r="I25" s="37" t="s">
        <v>35</v>
      </c>
      <c r="J25" s="39"/>
      <c r="K25" s="40"/>
      <c r="L25" s="40"/>
      <c r="M25" s="41"/>
      <c r="N25" s="42"/>
      <c r="O25" s="40"/>
      <c r="P25" s="42"/>
      <c r="Q25" s="40"/>
      <c r="R25" s="40"/>
      <c r="S25" s="43"/>
      <c r="T25" s="44"/>
      <c r="U25" s="40"/>
      <c r="V25" s="40">
        <v>1</v>
      </c>
      <c r="W25" s="41"/>
      <c r="X25" s="146" t="s">
        <v>43</v>
      </c>
    </row>
    <row r="26" spans="1:38" s="47" customFormat="1" x14ac:dyDescent="0.25">
      <c r="A26" s="158" t="s">
        <v>119</v>
      </c>
      <c r="B26" s="161">
        <v>10</v>
      </c>
      <c r="C26" s="144"/>
      <c r="D26" s="144" t="s">
        <v>83</v>
      </c>
      <c r="E26" s="145" t="s">
        <v>84</v>
      </c>
      <c r="F26" s="122" t="s">
        <v>120</v>
      </c>
      <c r="G26" s="162" t="s">
        <v>33</v>
      </c>
      <c r="H26" s="163" t="s">
        <v>121</v>
      </c>
      <c r="I26" s="38" t="s">
        <v>35</v>
      </c>
      <c r="J26" s="125"/>
      <c r="K26" s="126"/>
      <c r="L26" s="126"/>
      <c r="M26" s="128"/>
      <c r="N26" s="129"/>
      <c r="O26" s="126"/>
      <c r="P26" s="129"/>
      <c r="Q26" s="126"/>
      <c r="R26" s="126">
        <v>1</v>
      </c>
      <c r="S26" s="130"/>
      <c r="T26" s="127"/>
      <c r="U26" s="126"/>
      <c r="V26" s="126"/>
      <c r="W26" s="128"/>
      <c r="X26" s="38" t="s">
        <v>57</v>
      </c>
      <c r="Y26" s="46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8" x14ac:dyDescent="0.25">
      <c r="A27" s="164" t="s">
        <v>119</v>
      </c>
      <c r="B27" s="165">
        <v>21</v>
      </c>
      <c r="C27" s="73" t="s">
        <v>122</v>
      </c>
      <c r="D27" s="134" t="s">
        <v>100</v>
      </c>
      <c r="E27" s="135" t="s">
        <v>26</v>
      </c>
      <c r="F27" s="136" t="s">
        <v>123</v>
      </c>
      <c r="G27" s="166" t="s">
        <v>124</v>
      </c>
      <c r="H27" s="167" t="s">
        <v>125</v>
      </c>
      <c r="I27" s="168" t="s">
        <v>50</v>
      </c>
      <c r="J27" s="169">
        <v>1</v>
      </c>
      <c r="K27" s="75"/>
      <c r="L27" s="139"/>
      <c r="M27" s="140"/>
      <c r="N27" s="74">
        <v>1</v>
      </c>
      <c r="O27" s="75"/>
      <c r="P27" s="74"/>
      <c r="Q27" s="75"/>
      <c r="R27" s="75"/>
      <c r="S27" s="141"/>
      <c r="T27" s="139">
        <v>1</v>
      </c>
      <c r="U27" s="75">
        <v>1</v>
      </c>
      <c r="V27" s="75"/>
      <c r="W27" s="140"/>
      <c r="X27" s="170" t="s">
        <v>126</v>
      </c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7"/>
    </row>
    <row r="28" spans="1:38" s="47" customFormat="1" x14ac:dyDescent="0.25">
      <c r="A28" s="158" t="s">
        <v>119</v>
      </c>
      <c r="B28" s="161">
        <v>23</v>
      </c>
      <c r="C28" s="144"/>
      <c r="D28" s="144" t="s">
        <v>127</v>
      </c>
      <c r="E28" s="145" t="s">
        <v>117</v>
      </c>
      <c r="F28" s="122" t="s">
        <v>128</v>
      </c>
      <c r="G28" s="162" t="s">
        <v>33</v>
      </c>
      <c r="H28" s="163" t="s">
        <v>121</v>
      </c>
      <c r="I28" s="168" t="s">
        <v>35</v>
      </c>
      <c r="J28" s="127"/>
      <c r="K28" s="126"/>
      <c r="L28" s="126"/>
      <c r="M28" s="128"/>
      <c r="N28" s="129"/>
      <c r="O28" s="126"/>
      <c r="P28" s="129"/>
      <c r="Q28" s="126"/>
      <c r="R28" s="126"/>
      <c r="S28" s="130"/>
      <c r="T28" s="127"/>
      <c r="U28" s="126"/>
      <c r="V28" s="126">
        <v>1</v>
      </c>
      <c r="W28" s="128"/>
      <c r="X28" s="171" t="s">
        <v>43</v>
      </c>
      <c r="AK28" s="1"/>
    </row>
    <row r="29" spans="1:38" s="47" customFormat="1" x14ac:dyDescent="0.25">
      <c r="A29" s="158" t="s">
        <v>119</v>
      </c>
      <c r="B29" s="161">
        <v>24</v>
      </c>
      <c r="C29" s="144"/>
      <c r="D29" s="144" t="s">
        <v>127</v>
      </c>
      <c r="E29" s="145" t="s">
        <v>117</v>
      </c>
      <c r="F29" s="122" t="s">
        <v>129</v>
      </c>
      <c r="G29" s="162" t="s">
        <v>33</v>
      </c>
      <c r="H29" s="163" t="s">
        <v>130</v>
      </c>
      <c r="I29" s="168" t="s">
        <v>131</v>
      </c>
      <c r="J29" s="125"/>
      <c r="K29" s="126"/>
      <c r="L29" s="127"/>
      <c r="M29" s="128"/>
      <c r="N29" s="129"/>
      <c r="O29" s="126"/>
      <c r="P29" s="129">
        <v>1</v>
      </c>
      <c r="Q29" s="126"/>
      <c r="R29" s="126"/>
      <c r="S29" s="130"/>
      <c r="T29" s="127"/>
      <c r="U29" s="126"/>
      <c r="V29" s="126"/>
      <c r="W29" s="128"/>
      <c r="X29" s="38" t="s">
        <v>132</v>
      </c>
    </row>
    <row r="30" spans="1:38" s="47" customFormat="1" x14ac:dyDescent="0.25">
      <c r="A30" s="158" t="s">
        <v>119</v>
      </c>
      <c r="B30" s="161">
        <v>26</v>
      </c>
      <c r="C30" s="172"/>
      <c r="D30" s="172" t="s">
        <v>133</v>
      </c>
      <c r="E30" s="145" t="s">
        <v>46</v>
      </c>
      <c r="F30" s="122" t="s">
        <v>134</v>
      </c>
      <c r="G30" s="162" t="s">
        <v>124</v>
      </c>
      <c r="H30" s="163" t="s">
        <v>125</v>
      </c>
      <c r="I30" s="168" t="s">
        <v>50</v>
      </c>
      <c r="J30" s="125"/>
      <c r="K30" s="126"/>
      <c r="L30" s="127"/>
      <c r="M30" s="128"/>
      <c r="N30" s="129"/>
      <c r="O30" s="126"/>
      <c r="P30" s="129"/>
      <c r="Q30" s="126">
        <v>1</v>
      </c>
      <c r="R30" s="126"/>
      <c r="S30" s="130"/>
      <c r="T30" s="127"/>
      <c r="U30" s="126"/>
      <c r="V30" s="126"/>
      <c r="W30" s="128"/>
      <c r="X30" s="38" t="s">
        <v>135</v>
      </c>
    </row>
    <row r="31" spans="1:38" s="46" customFormat="1" ht="13.2" customHeight="1" x14ac:dyDescent="0.25">
      <c r="A31" s="158" t="s">
        <v>119</v>
      </c>
      <c r="B31" s="161">
        <v>27</v>
      </c>
      <c r="C31" s="144"/>
      <c r="D31" s="144" t="s">
        <v>136</v>
      </c>
      <c r="E31" s="145" t="s">
        <v>31</v>
      </c>
      <c r="F31" s="122" t="s">
        <v>75</v>
      </c>
      <c r="G31" s="162" t="s">
        <v>124</v>
      </c>
      <c r="H31" s="163" t="s">
        <v>125</v>
      </c>
      <c r="I31" s="168" t="s">
        <v>35</v>
      </c>
      <c r="J31" s="127"/>
      <c r="K31" s="126"/>
      <c r="L31" s="126"/>
      <c r="M31" s="128"/>
      <c r="N31" s="129"/>
      <c r="O31" s="126"/>
      <c r="P31" s="129"/>
      <c r="Q31" s="126"/>
      <c r="R31" s="126">
        <v>1</v>
      </c>
      <c r="S31" s="130"/>
      <c r="T31" s="127"/>
      <c r="U31" s="126"/>
      <c r="V31" s="126"/>
      <c r="W31" s="128"/>
      <c r="X31" s="38" t="s">
        <v>36</v>
      </c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</row>
    <row r="32" spans="1:38" s="47" customFormat="1" x14ac:dyDescent="0.25">
      <c r="A32" s="158" t="s">
        <v>137</v>
      </c>
      <c r="B32" s="173">
        <v>15</v>
      </c>
      <c r="C32" s="50"/>
      <c r="D32" s="50" t="s">
        <v>87</v>
      </c>
      <c r="E32" s="34" t="s">
        <v>31</v>
      </c>
      <c r="F32" s="174" t="s">
        <v>138</v>
      </c>
      <c r="G32" s="175" t="s">
        <v>69</v>
      </c>
      <c r="H32" s="176" t="s">
        <v>139</v>
      </c>
      <c r="I32" s="84" t="s">
        <v>140</v>
      </c>
      <c r="J32" s="177"/>
      <c r="K32" s="178"/>
      <c r="L32" s="178"/>
      <c r="M32" s="179"/>
      <c r="N32" s="180"/>
      <c r="O32" s="178"/>
      <c r="P32" s="180"/>
      <c r="Q32" s="178"/>
      <c r="R32" s="178"/>
      <c r="S32" s="181"/>
      <c r="T32" s="177"/>
      <c r="U32" s="178">
        <v>1</v>
      </c>
      <c r="V32" s="182"/>
      <c r="W32" s="179"/>
      <c r="X32" s="45" t="s">
        <v>141</v>
      </c>
      <c r="AK32" s="46"/>
    </row>
    <row r="33" spans="1:38" s="47" customFormat="1" x14ac:dyDescent="0.25">
      <c r="A33" s="158" t="s">
        <v>137</v>
      </c>
      <c r="B33" s="33">
        <v>16</v>
      </c>
      <c r="C33" s="50"/>
      <c r="D33" s="50" t="s">
        <v>142</v>
      </c>
      <c r="E33" s="34" t="s">
        <v>26</v>
      </c>
      <c r="F33" s="122" t="s">
        <v>143</v>
      </c>
      <c r="G33" s="162" t="s">
        <v>144</v>
      </c>
      <c r="H33" s="124" t="s">
        <v>145</v>
      </c>
      <c r="I33" s="84" t="s">
        <v>146</v>
      </c>
      <c r="J33" s="127"/>
      <c r="K33" s="126"/>
      <c r="L33" s="126"/>
      <c r="M33" s="128"/>
      <c r="N33" s="129"/>
      <c r="O33" s="126"/>
      <c r="P33" s="129"/>
      <c r="Q33" s="126"/>
      <c r="R33" s="126"/>
      <c r="S33" s="130"/>
      <c r="T33" s="127">
        <v>1</v>
      </c>
      <c r="U33" s="126">
        <v>2</v>
      </c>
      <c r="V33" s="126"/>
      <c r="W33" s="128"/>
      <c r="X33" s="183" t="s">
        <v>141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8" s="47" customFormat="1" x14ac:dyDescent="0.25">
      <c r="A34" s="158" t="s">
        <v>137</v>
      </c>
      <c r="B34" s="33">
        <v>17</v>
      </c>
      <c r="C34" s="144"/>
      <c r="D34" s="144" t="s">
        <v>142</v>
      </c>
      <c r="E34" s="145" t="s">
        <v>26</v>
      </c>
      <c r="F34" s="184" t="s">
        <v>147</v>
      </c>
      <c r="G34" s="185" t="s">
        <v>148</v>
      </c>
      <c r="H34" s="160" t="s">
        <v>149</v>
      </c>
      <c r="I34" s="84" t="s">
        <v>140</v>
      </c>
      <c r="J34" s="127"/>
      <c r="K34" s="126"/>
      <c r="L34" s="126"/>
      <c r="M34" s="128"/>
      <c r="N34" s="129"/>
      <c r="O34" s="126"/>
      <c r="P34" s="129"/>
      <c r="Q34" s="126"/>
      <c r="R34" s="126"/>
      <c r="S34" s="130"/>
      <c r="T34" s="127">
        <v>1</v>
      </c>
      <c r="U34" s="126"/>
      <c r="V34" s="126"/>
      <c r="W34" s="128"/>
      <c r="X34" s="183" t="s">
        <v>150</v>
      </c>
    </row>
    <row r="35" spans="1:38" x14ac:dyDescent="0.25">
      <c r="A35" s="158" t="s">
        <v>137</v>
      </c>
      <c r="B35" s="33">
        <v>19</v>
      </c>
      <c r="C35" s="186"/>
      <c r="D35" s="186" t="s">
        <v>151</v>
      </c>
      <c r="E35" s="121" t="s">
        <v>84</v>
      </c>
      <c r="F35" s="122" t="s">
        <v>129</v>
      </c>
      <c r="G35" s="185" t="s">
        <v>69</v>
      </c>
      <c r="H35" s="160" t="s">
        <v>152</v>
      </c>
      <c r="I35" s="183" t="s">
        <v>35</v>
      </c>
      <c r="J35" s="139"/>
      <c r="K35" s="75"/>
      <c r="L35" s="75"/>
      <c r="M35" s="140"/>
      <c r="N35" s="74"/>
      <c r="O35" s="75"/>
      <c r="P35" s="74"/>
      <c r="Q35" s="75"/>
      <c r="R35" s="75">
        <v>1</v>
      </c>
      <c r="S35" s="141"/>
      <c r="T35" s="139"/>
      <c r="U35" s="75"/>
      <c r="V35" s="75"/>
      <c r="W35" s="140"/>
      <c r="X35" s="187" t="s">
        <v>153</v>
      </c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</row>
    <row r="36" spans="1:38" s="47" customFormat="1" x14ac:dyDescent="0.25">
      <c r="A36" s="30" t="s">
        <v>137</v>
      </c>
      <c r="B36" s="33">
        <v>25</v>
      </c>
      <c r="C36" s="134"/>
      <c r="D36" s="134" t="s">
        <v>154</v>
      </c>
      <c r="E36" s="145" t="s">
        <v>78</v>
      </c>
      <c r="F36" s="122" t="s">
        <v>155</v>
      </c>
      <c r="G36" s="162" t="s">
        <v>69</v>
      </c>
      <c r="H36" s="124" t="s">
        <v>156</v>
      </c>
      <c r="I36" s="168" t="s">
        <v>91</v>
      </c>
      <c r="J36" s="139"/>
      <c r="K36" s="75"/>
      <c r="L36" s="75"/>
      <c r="M36" s="140"/>
      <c r="N36" s="74"/>
      <c r="O36" s="75"/>
      <c r="P36" s="74"/>
      <c r="Q36" s="75"/>
      <c r="R36" s="75"/>
      <c r="S36" s="141"/>
      <c r="T36" s="139">
        <v>1</v>
      </c>
      <c r="U36" s="75"/>
      <c r="V36" s="75"/>
      <c r="W36" s="140"/>
      <c r="X36" s="187" t="s">
        <v>157</v>
      </c>
    </row>
    <row r="37" spans="1:38" s="47" customFormat="1" x14ac:dyDescent="0.25">
      <c r="A37" s="158" t="s">
        <v>137</v>
      </c>
      <c r="B37" s="188">
        <v>27</v>
      </c>
      <c r="C37" s="186"/>
      <c r="D37" s="186" t="s">
        <v>133</v>
      </c>
      <c r="E37" s="34" t="s">
        <v>46</v>
      </c>
      <c r="F37" s="189" t="s">
        <v>158</v>
      </c>
      <c r="G37" s="162" t="s">
        <v>69</v>
      </c>
      <c r="H37" s="190" t="s">
        <v>159</v>
      </c>
      <c r="I37" s="191" t="s">
        <v>91</v>
      </c>
      <c r="J37" s="192"/>
      <c r="K37" s="193"/>
      <c r="L37" s="193"/>
      <c r="M37" s="194"/>
      <c r="N37" s="195"/>
      <c r="O37" s="193"/>
      <c r="P37" s="195"/>
      <c r="Q37" s="193">
        <v>2</v>
      </c>
      <c r="R37" s="193"/>
      <c r="S37" s="196"/>
      <c r="T37" s="192">
        <v>1</v>
      </c>
      <c r="U37" s="193"/>
      <c r="V37" s="193"/>
      <c r="W37" s="194"/>
      <c r="X37" s="197" t="s">
        <v>157</v>
      </c>
      <c r="Y37" s="1"/>
    </row>
    <row r="38" spans="1:38" s="47" customFormat="1" x14ac:dyDescent="0.25">
      <c r="A38" s="198" t="s">
        <v>160</v>
      </c>
      <c r="B38" s="199">
        <v>7</v>
      </c>
      <c r="C38" s="134"/>
      <c r="D38" s="134" t="s">
        <v>30</v>
      </c>
      <c r="E38" s="145" t="s">
        <v>31</v>
      </c>
      <c r="F38" s="200" t="s">
        <v>161</v>
      </c>
      <c r="G38" s="162" t="s">
        <v>69</v>
      </c>
      <c r="H38" s="201" t="s">
        <v>162</v>
      </c>
      <c r="I38" s="84" t="s">
        <v>140</v>
      </c>
      <c r="J38" s="202"/>
      <c r="K38" s="72"/>
      <c r="L38" s="203"/>
      <c r="M38" s="204"/>
      <c r="N38" s="71"/>
      <c r="O38" s="72"/>
      <c r="P38" s="71">
        <v>1</v>
      </c>
      <c r="Q38" s="72"/>
      <c r="R38" s="72"/>
      <c r="S38" s="205"/>
      <c r="T38" s="203"/>
      <c r="U38" s="72"/>
      <c r="V38" s="72"/>
      <c r="W38" s="204"/>
      <c r="X38" s="206" t="s">
        <v>132</v>
      </c>
      <c r="Y38" s="1"/>
    </row>
    <row r="39" spans="1:38" x14ac:dyDescent="0.25">
      <c r="A39" s="198" t="s">
        <v>160</v>
      </c>
      <c r="B39" s="199">
        <v>8</v>
      </c>
      <c r="C39" s="134"/>
      <c r="D39" s="134" t="s">
        <v>30</v>
      </c>
      <c r="E39" s="145" t="s">
        <v>31</v>
      </c>
      <c r="F39" s="200" t="s">
        <v>109</v>
      </c>
      <c r="G39" s="162" t="s">
        <v>69</v>
      </c>
      <c r="H39" s="201" t="s">
        <v>163</v>
      </c>
      <c r="I39" s="84" t="s">
        <v>140</v>
      </c>
      <c r="J39" s="202"/>
      <c r="K39" s="72"/>
      <c r="L39" s="203"/>
      <c r="M39" s="204"/>
      <c r="N39" s="71"/>
      <c r="O39" s="72"/>
      <c r="P39" s="71">
        <v>1</v>
      </c>
      <c r="Q39" s="72"/>
      <c r="R39" s="72"/>
      <c r="S39" s="205"/>
      <c r="T39" s="203"/>
      <c r="U39" s="72">
        <v>2</v>
      </c>
      <c r="V39" s="72"/>
      <c r="W39" s="204"/>
      <c r="X39" s="206" t="s">
        <v>132</v>
      </c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</row>
    <row r="40" spans="1:38" x14ac:dyDescent="0.25">
      <c r="A40" s="198" t="s">
        <v>160</v>
      </c>
      <c r="B40" s="199">
        <v>10</v>
      </c>
      <c r="C40" s="186"/>
      <c r="D40" s="186" t="s">
        <v>164</v>
      </c>
      <c r="E40" s="207" t="s">
        <v>26</v>
      </c>
      <c r="F40" s="200" t="s">
        <v>165</v>
      </c>
      <c r="G40" s="162" t="s">
        <v>69</v>
      </c>
      <c r="H40" s="201" t="s">
        <v>166</v>
      </c>
      <c r="I40" s="84" t="s">
        <v>140</v>
      </c>
      <c r="J40" s="202"/>
      <c r="K40" s="72"/>
      <c r="L40" s="203"/>
      <c r="M40" s="204"/>
      <c r="N40" s="71"/>
      <c r="O40" s="72"/>
      <c r="P40" s="71">
        <v>1</v>
      </c>
      <c r="Q40" s="72"/>
      <c r="R40" s="72"/>
      <c r="S40" s="205"/>
      <c r="T40" s="203"/>
      <c r="U40" s="72">
        <v>3</v>
      </c>
      <c r="V40" s="72"/>
      <c r="W40" s="204"/>
      <c r="X40" s="206" t="s">
        <v>132</v>
      </c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L40" s="47"/>
    </row>
    <row r="41" spans="1:38" x14ac:dyDescent="0.25">
      <c r="A41" s="48" t="s">
        <v>167</v>
      </c>
      <c r="B41" s="173" t="s">
        <v>168</v>
      </c>
      <c r="C41" s="144"/>
      <c r="D41" s="144" t="s">
        <v>133</v>
      </c>
      <c r="E41" s="145" t="s">
        <v>46</v>
      </c>
      <c r="F41" s="174" t="s">
        <v>169</v>
      </c>
      <c r="G41" s="208" t="s">
        <v>62</v>
      </c>
      <c r="H41" s="209" t="s">
        <v>170</v>
      </c>
      <c r="I41" s="168" t="s">
        <v>50</v>
      </c>
      <c r="J41" s="177"/>
      <c r="K41" s="178"/>
      <c r="L41" s="178"/>
      <c r="M41" s="179"/>
      <c r="N41" s="180"/>
      <c r="O41" s="178"/>
      <c r="P41" s="180"/>
      <c r="Q41" s="178"/>
      <c r="R41" s="178"/>
      <c r="S41" s="181"/>
      <c r="T41" s="177">
        <v>1</v>
      </c>
      <c r="U41" s="178"/>
      <c r="V41" s="178"/>
      <c r="W41" s="179"/>
      <c r="X41" s="210" t="s">
        <v>171</v>
      </c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</row>
    <row r="42" spans="1:38" s="47" customFormat="1" x14ac:dyDescent="0.25">
      <c r="A42" s="48" t="s">
        <v>167</v>
      </c>
      <c r="B42" s="173" t="s">
        <v>172</v>
      </c>
      <c r="C42" s="134"/>
      <c r="D42" s="134" t="s">
        <v>133</v>
      </c>
      <c r="E42" s="145" t="s">
        <v>46</v>
      </c>
      <c r="F42" s="174" t="s">
        <v>173</v>
      </c>
      <c r="G42" s="208" t="s">
        <v>174</v>
      </c>
      <c r="H42" s="209" t="s">
        <v>175</v>
      </c>
      <c r="I42" s="168" t="s">
        <v>131</v>
      </c>
      <c r="J42" s="211"/>
      <c r="K42" s="212"/>
      <c r="L42" s="212"/>
      <c r="M42" s="213"/>
      <c r="N42" s="214"/>
      <c r="O42" s="212"/>
      <c r="P42" s="214"/>
      <c r="Q42" s="212"/>
      <c r="R42" s="212"/>
      <c r="S42" s="215"/>
      <c r="T42" s="211">
        <v>1</v>
      </c>
      <c r="U42" s="212"/>
      <c r="V42" s="212"/>
      <c r="W42" s="213"/>
      <c r="X42" s="216" t="s">
        <v>132</v>
      </c>
    </row>
    <row r="43" spans="1:38" x14ac:dyDescent="0.25">
      <c r="A43" s="217" t="s">
        <v>176</v>
      </c>
      <c r="B43" s="218">
        <v>5</v>
      </c>
      <c r="C43" s="67" t="s">
        <v>177</v>
      </c>
      <c r="D43" s="219" t="s">
        <v>178</v>
      </c>
      <c r="E43" s="220" t="s">
        <v>78</v>
      </c>
      <c r="F43" s="221" t="s">
        <v>179</v>
      </c>
      <c r="G43" s="222" t="s">
        <v>69</v>
      </c>
      <c r="H43" s="223" t="s">
        <v>180</v>
      </c>
      <c r="I43" s="224" t="s">
        <v>50</v>
      </c>
      <c r="J43" s="225"/>
      <c r="K43" s="226">
        <v>1</v>
      </c>
      <c r="L43" s="226"/>
      <c r="M43" s="227"/>
      <c r="N43" s="228">
        <v>1</v>
      </c>
      <c r="O43" s="226"/>
      <c r="P43" s="228">
        <v>1</v>
      </c>
      <c r="Q43" s="226">
        <v>1</v>
      </c>
      <c r="R43" s="226"/>
      <c r="S43" s="229"/>
      <c r="T43" s="225">
        <v>1</v>
      </c>
      <c r="U43" s="226"/>
      <c r="V43" s="226"/>
      <c r="W43" s="230"/>
      <c r="X43" s="231" t="s">
        <v>181</v>
      </c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</row>
    <row r="44" spans="1:38" x14ac:dyDescent="0.25">
      <c r="A44" s="232" t="s">
        <v>176</v>
      </c>
      <c r="B44" s="233">
        <v>7</v>
      </c>
      <c r="C44" s="79"/>
      <c r="D44" s="79" t="s">
        <v>178</v>
      </c>
      <c r="E44" s="234" t="s">
        <v>78</v>
      </c>
      <c r="F44" s="235" t="s">
        <v>85</v>
      </c>
      <c r="G44" s="236" t="s">
        <v>69</v>
      </c>
      <c r="H44" s="237" t="s">
        <v>182</v>
      </c>
      <c r="I44" s="238" t="s">
        <v>140</v>
      </c>
      <c r="J44" s="239"/>
      <c r="K44" s="226"/>
      <c r="L44" s="240"/>
      <c r="M44" s="241"/>
      <c r="N44" s="242"/>
      <c r="O44" s="243"/>
      <c r="P44" s="242"/>
      <c r="Q44" s="243"/>
      <c r="R44" s="243"/>
      <c r="S44" s="244"/>
      <c r="T44" s="240">
        <v>1</v>
      </c>
      <c r="U44" s="243"/>
      <c r="V44" s="243"/>
      <c r="W44" s="241"/>
      <c r="X44" s="245" t="s">
        <v>132</v>
      </c>
      <c r="Y44" s="46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</row>
    <row r="45" spans="1:38" s="46" customFormat="1" x14ac:dyDescent="0.25">
      <c r="A45" s="92" t="s">
        <v>183</v>
      </c>
      <c r="B45" s="161">
        <v>3</v>
      </c>
      <c r="C45" s="246" t="s">
        <v>184</v>
      </c>
      <c r="D45" s="149" t="s">
        <v>185</v>
      </c>
      <c r="E45" s="150" t="s">
        <v>31</v>
      </c>
      <c r="F45" s="151" t="s">
        <v>186</v>
      </c>
      <c r="G45" s="247">
        <v>538</v>
      </c>
      <c r="H45" s="152" t="s">
        <v>187</v>
      </c>
      <c r="I45" s="38" t="s">
        <v>35</v>
      </c>
      <c r="J45" s="153"/>
      <c r="K45" s="101"/>
      <c r="L45" s="101">
        <v>1</v>
      </c>
      <c r="M45" s="154"/>
      <c r="N45" s="129">
        <v>1</v>
      </c>
      <c r="O45" s="126"/>
      <c r="P45" s="155"/>
      <c r="Q45" s="101"/>
      <c r="R45" s="101"/>
      <c r="S45" s="156"/>
      <c r="T45" s="157"/>
      <c r="U45" s="101"/>
      <c r="V45" s="101"/>
      <c r="W45" s="154"/>
      <c r="X45" s="38" t="s">
        <v>36</v>
      </c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</row>
    <row r="46" spans="1:38" s="47" customFormat="1" ht="12.6" customHeight="1" x14ac:dyDescent="0.25">
      <c r="A46" s="92" t="s">
        <v>183</v>
      </c>
      <c r="B46" s="161">
        <v>7</v>
      </c>
      <c r="C46" s="120"/>
      <c r="D46" s="120" t="s">
        <v>188</v>
      </c>
      <c r="E46" s="121" t="s">
        <v>84</v>
      </c>
      <c r="F46" s="248" t="s">
        <v>189</v>
      </c>
      <c r="G46" s="247">
        <v>538</v>
      </c>
      <c r="H46" s="152" t="s">
        <v>190</v>
      </c>
      <c r="I46" s="84" t="s">
        <v>140</v>
      </c>
      <c r="J46" s="153"/>
      <c r="K46" s="101"/>
      <c r="L46" s="101"/>
      <c r="M46" s="154"/>
      <c r="N46" s="155"/>
      <c r="O46" s="101"/>
      <c r="P46" s="155">
        <v>1</v>
      </c>
      <c r="Q46" s="101"/>
      <c r="R46" s="101"/>
      <c r="S46" s="156"/>
      <c r="T46" s="157"/>
      <c r="U46" s="101"/>
      <c r="V46" s="101"/>
      <c r="W46" s="154"/>
      <c r="X46" s="38" t="s">
        <v>132</v>
      </c>
    </row>
    <row r="47" spans="1:38" s="47" customFormat="1" x14ac:dyDescent="0.25">
      <c r="A47" s="92" t="s">
        <v>183</v>
      </c>
      <c r="B47" s="249">
        <v>11</v>
      </c>
      <c r="C47" s="149"/>
      <c r="D47" s="149" t="s">
        <v>54</v>
      </c>
      <c r="E47" s="150" t="s">
        <v>46</v>
      </c>
      <c r="F47" s="248" t="s">
        <v>191</v>
      </c>
      <c r="G47" s="247" t="s">
        <v>98</v>
      </c>
      <c r="H47" s="152" t="s">
        <v>192</v>
      </c>
      <c r="I47" s="38" t="s">
        <v>64</v>
      </c>
      <c r="J47" s="153"/>
      <c r="K47" s="101"/>
      <c r="L47" s="101"/>
      <c r="M47" s="154"/>
      <c r="N47" s="155"/>
      <c r="O47" s="101"/>
      <c r="P47" s="155">
        <v>2</v>
      </c>
      <c r="Q47" s="101">
        <v>16</v>
      </c>
      <c r="R47" s="101"/>
      <c r="S47" s="156"/>
      <c r="T47" s="157"/>
      <c r="U47" s="101"/>
      <c r="V47" s="101"/>
      <c r="W47" s="250"/>
      <c r="X47" s="38" t="s">
        <v>193</v>
      </c>
    </row>
    <row r="48" spans="1:38" s="47" customFormat="1" x14ac:dyDescent="0.25">
      <c r="A48" s="92" t="s">
        <v>183</v>
      </c>
      <c r="B48" s="161">
        <v>13</v>
      </c>
      <c r="C48" s="144"/>
      <c r="D48" s="144" t="s">
        <v>30</v>
      </c>
      <c r="E48" s="145" t="s">
        <v>31</v>
      </c>
      <c r="F48" s="248" t="s">
        <v>194</v>
      </c>
      <c r="G48" s="247">
        <v>538</v>
      </c>
      <c r="H48" s="152" t="s">
        <v>190</v>
      </c>
      <c r="I48" s="84" t="s">
        <v>140</v>
      </c>
      <c r="J48" s="153"/>
      <c r="K48" s="101"/>
      <c r="L48" s="101"/>
      <c r="M48" s="154"/>
      <c r="N48" s="155"/>
      <c r="O48" s="101"/>
      <c r="P48" s="155"/>
      <c r="Q48" s="101">
        <v>1</v>
      </c>
      <c r="R48" s="101"/>
      <c r="S48" s="156"/>
      <c r="T48" s="157"/>
      <c r="U48" s="101"/>
      <c r="V48" s="101"/>
      <c r="W48" s="154"/>
      <c r="X48" s="38" t="s">
        <v>150</v>
      </c>
      <c r="AL48" s="46"/>
    </row>
    <row r="49" spans="1:38" s="47" customFormat="1" x14ac:dyDescent="0.25">
      <c r="A49" s="92" t="s">
        <v>183</v>
      </c>
      <c r="B49" s="251">
        <v>14</v>
      </c>
      <c r="C49" s="144"/>
      <c r="D49" s="144" t="s">
        <v>164</v>
      </c>
      <c r="E49" s="145" t="s">
        <v>26</v>
      </c>
      <c r="F49" s="151" t="s">
        <v>195</v>
      </c>
      <c r="G49" s="247">
        <v>569</v>
      </c>
      <c r="H49" s="38" t="s">
        <v>196</v>
      </c>
      <c r="I49" s="38" t="s">
        <v>197</v>
      </c>
      <c r="J49" s="252"/>
      <c r="K49" s="101"/>
      <c r="L49" s="157"/>
      <c r="M49" s="156"/>
      <c r="N49" s="155"/>
      <c r="O49" s="101"/>
      <c r="P49" s="155">
        <v>1</v>
      </c>
      <c r="Q49" s="101">
        <v>1</v>
      </c>
      <c r="R49" s="101"/>
      <c r="S49" s="156"/>
      <c r="T49" s="155"/>
      <c r="U49" s="101"/>
      <c r="V49" s="101"/>
      <c r="W49" s="156"/>
      <c r="X49" s="38" t="s">
        <v>198</v>
      </c>
      <c r="AK49" s="1"/>
    </row>
    <row r="50" spans="1:38" s="47" customFormat="1" x14ac:dyDescent="0.25">
      <c r="A50" s="30" t="s">
        <v>183</v>
      </c>
      <c r="B50" s="253">
        <v>21</v>
      </c>
      <c r="C50" s="254"/>
      <c r="D50" s="254" t="s">
        <v>104</v>
      </c>
      <c r="E50" s="253" t="s">
        <v>46</v>
      </c>
      <c r="F50" s="253" t="s">
        <v>199</v>
      </c>
      <c r="G50" s="255" t="s">
        <v>200</v>
      </c>
      <c r="H50" s="37" t="s">
        <v>201</v>
      </c>
      <c r="I50" s="84" t="s">
        <v>42</v>
      </c>
      <c r="J50" s="256"/>
      <c r="K50" s="257"/>
      <c r="L50" s="258"/>
      <c r="M50" s="259"/>
      <c r="N50" s="260"/>
      <c r="O50" s="257"/>
      <c r="P50" s="260"/>
      <c r="Q50" s="257"/>
      <c r="R50" s="257"/>
      <c r="S50" s="259"/>
      <c r="T50" s="260"/>
      <c r="U50" s="257"/>
      <c r="V50" s="257">
        <v>1</v>
      </c>
      <c r="W50" s="259"/>
      <c r="X50" s="261" t="s">
        <v>43</v>
      </c>
    </row>
    <row r="51" spans="1:38" s="47" customFormat="1" x14ac:dyDescent="0.25">
      <c r="A51" s="119" t="s">
        <v>183</v>
      </c>
      <c r="B51" s="262">
        <v>22</v>
      </c>
      <c r="C51" s="144"/>
      <c r="D51" s="144" t="s">
        <v>202</v>
      </c>
      <c r="E51" s="145" t="s">
        <v>84</v>
      </c>
      <c r="F51" s="263" t="s">
        <v>203</v>
      </c>
      <c r="G51" s="264" t="s">
        <v>204</v>
      </c>
      <c r="H51" s="265" t="s">
        <v>205</v>
      </c>
      <c r="I51" s="266" t="s">
        <v>206</v>
      </c>
      <c r="J51" s="267"/>
      <c r="K51" s="268"/>
      <c r="L51" s="269"/>
      <c r="M51" s="270"/>
      <c r="N51" s="269"/>
      <c r="O51" s="268"/>
      <c r="P51" s="269">
        <v>1</v>
      </c>
      <c r="Q51" s="268"/>
      <c r="R51" s="268"/>
      <c r="S51" s="270"/>
      <c r="T51" s="269"/>
      <c r="U51" s="268"/>
      <c r="V51" s="268"/>
      <c r="W51" s="270"/>
      <c r="X51" s="265" t="s">
        <v>132</v>
      </c>
    </row>
    <row r="52" spans="1:38" x14ac:dyDescent="0.25">
      <c r="A52" s="92" t="s">
        <v>183</v>
      </c>
      <c r="B52" s="149" t="s">
        <v>108</v>
      </c>
      <c r="C52" s="271" t="s">
        <v>207</v>
      </c>
      <c r="D52" s="149" t="s">
        <v>74</v>
      </c>
      <c r="E52" s="150" t="s">
        <v>46</v>
      </c>
      <c r="F52" s="151" t="s">
        <v>208</v>
      </c>
      <c r="G52" s="264">
        <v>538</v>
      </c>
      <c r="H52" s="38" t="s">
        <v>192</v>
      </c>
      <c r="I52" s="38" t="s">
        <v>209</v>
      </c>
      <c r="J52" s="153">
        <v>1</v>
      </c>
      <c r="K52" s="101"/>
      <c r="L52" s="101"/>
      <c r="M52" s="154"/>
      <c r="N52" s="42">
        <v>1</v>
      </c>
      <c r="O52" s="40"/>
      <c r="P52" s="155"/>
      <c r="Q52" s="101"/>
      <c r="R52" s="101"/>
      <c r="S52" s="156"/>
      <c r="T52" s="157"/>
      <c r="U52" s="101"/>
      <c r="V52" s="101"/>
      <c r="W52" s="154"/>
      <c r="X52" s="38" t="s">
        <v>150</v>
      </c>
      <c r="Y52" s="47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7"/>
      <c r="AL52" s="47"/>
    </row>
    <row r="53" spans="1:38" s="47" customFormat="1" x14ac:dyDescent="0.25">
      <c r="A53" s="158" t="s">
        <v>210</v>
      </c>
      <c r="B53" s="161">
        <v>13</v>
      </c>
      <c r="C53" s="134"/>
      <c r="D53" s="134" t="s">
        <v>164</v>
      </c>
      <c r="E53" s="145" t="s">
        <v>26</v>
      </c>
      <c r="F53" s="122" t="s">
        <v>211</v>
      </c>
      <c r="G53" s="162" t="s">
        <v>69</v>
      </c>
      <c r="H53" s="146" t="s">
        <v>212</v>
      </c>
      <c r="I53" s="272" t="s">
        <v>146</v>
      </c>
      <c r="J53" s="74"/>
      <c r="K53" s="75"/>
      <c r="L53" s="75"/>
      <c r="M53" s="141"/>
      <c r="N53" s="139"/>
      <c r="O53" s="75"/>
      <c r="P53" s="139"/>
      <c r="Q53" s="75"/>
      <c r="R53" s="75"/>
      <c r="S53" s="141"/>
      <c r="T53" s="139">
        <v>1</v>
      </c>
      <c r="U53" s="75"/>
      <c r="V53" s="75"/>
      <c r="W53" s="141"/>
      <c r="X53" s="170" t="s">
        <v>213</v>
      </c>
    </row>
    <row r="54" spans="1:38" s="47" customFormat="1" x14ac:dyDescent="0.25">
      <c r="A54" s="158" t="s">
        <v>210</v>
      </c>
      <c r="B54" s="161">
        <v>18</v>
      </c>
      <c r="C54" s="134"/>
      <c r="D54" s="134" t="s">
        <v>83</v>
      </c>
      <c r="E54" s="145" t="s">
        <v>84</v>
      </c>
      <c r="F54" s="122" t="s">
        <v>214</v>
      </c>
      <c r="G54" s="162" t="s">
        <v>33</v>
      </c>
      <c r="H54" s="146" t="s">
        <v>215</v>
      </c>
      <c r="I54" s="273" t="s">
        <v>35</v>
      </c>
      <c r="J54" s="74"/>
      <c r="K54" s="75"/>
      <c r="L54" s="75"/>
      <c r="M54" s="141"/>
      <c r="N54" s="139"/>
      <c r="O54" s="75"/>
      <c r="P54" s="139"/>
      <c r="Q54" s="75"/>
      <c r="R54" s="75"/>
      <c r="S54" s="141"/>
      <c r="T54" s="139"/>
      <c r="U54" s="75"/>
      <c r="V54" s="75">
        <v>1</v>
      </c>
      <c r="W54" s="141"/>
      <c r="X54" s="170" t="s">
        <v>216</v>
      </c>
      <c r="AL54" s="1"/>
    </row>
    <row r="55" spans="1:38" s="47" customFormat="1" ht="13.2" customHeight="1" x14ac:dyDescent="0.25">
      <c r="A55" s="158" t="s">
        <v>210</v>
      </c>
      <c r="B55" s="161">
        <v>21</v>
      </c>
      <c r="C55" s="144"/>
      <c r="D55" s="144" t="s">
        <v>45</v>
      </c>
      <c r="E55" s="274" t="s">
        <v>46</v>
      </c>
      <c r="F55" s="122" t="s">
        <v>97</v>
      </c>
      <c r="G55" s="162" t="s">
        <v>33</v>
      </c>
      <c r="H55" s="163" t="s">
        <v>217</v>
      </c>
      <c r="I55" s="38" t="s">
        <v>35</v>
      </c>
      <c r="J55" s="127"/>
      <c r="K55" s="126"/>
      <c r="L55" s="126"/>
      <c r="M55" s="128"/>
      <c r="N55" s="129"/>
      <c r="O55" s="126"/>
      <c r="P55" s="129"/>
      <c r="Q55" s="126"/>
      <c r="R55" s="126"/>
      <c r="S55" s="130"/>
      <c r="T55" s="127"/>
      <c r="U55" s="126"/>
      <c r="V55" s="126">
        <v>1</v>
      </c>
      <c r="W55" s="128"/>
      <c r="X55" s="38" t="s">
        <v>218</v>
      </c>
    </row>
    <row r="56" spans="1:38" s="47" customFormat="1" ht="13.2" customHeight="1" x14ac:dyDescent="0.25">
      <c r="A56" s="158" t="s">
        <v>210</v>
      </c>
      <c r="B56" s="161">
        <v>27</v>
      </c>
      <c r="C56" s="144"/>
      <c r="D56" s="144" t="s">
        <v>93</v>
      </c>
      <c r="E56" s="145" t="s">
        <v>31</v>
      </c>
      <c r="F56" s="122" t="s">
        <v>219</v>
      </c>
      <c r="G56" s="275" t="s">
        <v>33</v>
      </c>
      <c r="H56" s="146" t="s">
        <v>220</v>
      </c>
      <c r="I56" s="168" t="s">
        <v>131</v>
      </c>
      <c r="J56" s="125"/>
      <c r="K56" s="126"/>
      <c r="L56" s="126"/>
      <c r="M56" s="128"/>
      <c r="N56" s="129"/>
      <c r="O56" s="126"/>
      <c r="P56" s="129"/>
      <c r="Q56" s="126"/>
      <c r="R56" s="126"/>
      <c r="S56" s="130"/>
      <c r="T56" s="127">
        <v>1</v>
      </c>
      <c r="U56" s="126"/>
      <c r="V56" s="126"/>
      <c r="W56" s="128"/>
      <c r="X56" s="38" t="s">
        <v>141</v>
      </c>
    </row>
    <row r="57" spans="1:38" s="47" customFormat="1" x14ac:dyDescent="0.25">
      <c r="A57" s="158" t="s">
        <v>210</v>
      </c>
      <c r="B57" s="161">
        <v>29</v>
      </c>
      <c r="C57" s="134"/>
      <c r="D57" s="134" t="s">
        <v>100</v>
      </c>
      <c r="E57" s="145" t="s">
        <v>26</v>
      </c>
      <c r="F57" s="122" t="s">
        <v>219</v>
      </c>
      <c r="G57" s="162" t="s">
        <v>69</v>
      </c>
      <c r="H57" s="146" t="s">
        <v>212</v>
      </c>
      <c r="I57" s="276" t="s">
        <v>91</v>
      </c>
      <c r="J57" s="74"/>
      <c r="K57" s="75"/>
      <c r="L57" s="75"/>
      <c r="M57" s="141"/>
      <c r="N57" s="139"/>
      <c r="O57" s="75"/>
      <c r="P57" s="139"/>
      <c r="Q57" s="75"/>
      <c r="R57" s="75"/>
      <c r="S57" s="141"/>
      <c r="T57" s="139"/>
      <c r="U57" s="75">
        <v>2</v>
      </c>
      <c r="V57" s="75"/>
      <c r="W57" s="141"/>
      <c r="X57" s="170" t="s">
        <v>51</v>
      </c>
      <c r="Y57" s="46"/>
    </row>
    <row r="58" spans="1:38" s="47" customFormat="1" x14ac:dyDescent="0.25">
      <c r="A58" s="158" t="s">
        <v>210</v>
      </c>
      <c r="B58" s="161">
        <v>30</v>
      </c>
      <c r="C58" s="144"/>
      <c r="D58" s="144" t="s">
        <v>77</v>
      </c>
      <c r="E58" s="145" t="s">
        <v>78</v>
      </c>
      <c r="F58" s="122" t="s">
        <v>219</v>
      </c>
      <c r="G58" s="277" t="s">
        <v>33</v>
      </c>
      <c r="H58" s="146" t="s">
        <v>221</v>
      </c>
      <c r="I58" s="278" t="s">
        <v>35</v>
      </c>
      <c r="J58" s="127"/>
      <c r="K58" s="126"/>
      <c r="L58" s="126"/>
      <c r="M58" s="128"/>
      <c r="N58" s="129"/>
      <c r="O58" s="126"/>
      <c r="P58" s="129"/>
      <c r="Q58" s="126">
        <v>1</v>
      </c>
      <c r="R58" s="126">
        <v>1</v>
      </c>
      <c r="S58" s="130"/>
      <c r="T58" s="127"/>
      <c r="U58" s="126"/>
      <c r="V58" s="126"/>
      <c r="W58" s="128"/>
      <c r="X58" s="38" t="s">
        <v>216</v>
      </c>
    </row>
    <row r="59" spans="1:38" s="47" customFormat="1" x14ac:dyDescent="0.25">
      <c r="A59" s="158" t="s">
        <v>210</v>
      </c>
      <c r="B59" s="161">
        <v>31</v>
      </c>
      <c r="C59" s="144"/>
      <c r="D59" s="144" t="s">
        <v>100</v>
      </c>
      <c r="E59" s="145" t="s">
        <v>26</v>
      </c>
      <c r="F59" s="122" t="s">
        <v>222</v>
      </c>
      <c r="G59" s="275" t="s">
        <v>33</v>
      </c>
      <c r="H59" s="146" t="s">
        <v>223</v>
      </c>
      <c r="I59" s="278" t="s">
        <v>131</v>
      </c>
      <c r="J59" s="127"/>
      <c r="K59" s="126"/>
      <c r="L59" s="126"/>
      <c r="M59" s="128"/>
      <c r="N59" s="129"/>
      <c r="O59" s="126"/>
      <c r="P59" s="129"/>
      <c r="Q59" s="126"/>
      <c r="R59" s="126"/>
      <c r="S59" s="130"/>
      <c r="T59" s="127">
        <v>1</v>
      </c>
      <c r="U59" s="126"/>
      <c r="V59" s="126"/>
      <c r="W59" s="128"/>
      <c r="X59" s="38" t="s">
        <v>198</v>
      </c>
    </row>
    <row r="60" spans="1:38" s="47" customFormat="1" x14ac:dyDescent="0.25">
      <c r="A60" s="158" t="s">
        <v>210</v>
      </c>
      <c r="B60" s="161">
        <v>33</v>
      </c>
      <c r="C60" s="144"/>
      <c r="D60" s="144" t="s">
        <v>142</v>
      </c>
      <c r="E60" s="145" t="s">
        <v>26</v>
      </c>
      <c r="F60" s="122" t="s">
        <v>101</v>
      </c>
      <c r="G60" s="275" t="s">
        <v>33</v>
      </c>
      <c r="H60" s="146" t="s">
        <v>224</v>
      </c>
      <c r="I60" s="278" t="s">
        <v>35</v>
      </c>
      <c r="J60" s="127"/>
      <c r="K60" s="126"/>
      <c r="L60" s="126"/>
      <c r="M60" s="128"/>
      <c r="N60" s="129"/>
      <c r="O60" s="126"/>
      <c r="P60" s="129"/>
      <c r="Q60" s="126"/>
      <c r="R60" s="126"/>
      <c r="S60" s="130"/>
      <c r="T60" s="127"/>
      <c r="U60" s="126"/>
      <c r="V60" s="126">
        <v>1</v>
      </c>
      <c r="W60" s="128"/>
      <c r="X60" s="38" t="s">
        <v>216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8" s="46" customFormat="1" x14ac:dyDescent="0.25">
      <c r="A61" s="158" t="s">
        <v>210</v>
      </c>
      <c r="B61" s="161">
        <v>34</v>
      </c>
      <c r="C61" s="144"/>
      <c r="D61" s="144" t="s">
        <v>100</v>
      </c>
      <c r="E61" s="145" t="s">
        <v>26</v>
      </c>
      <c r="F61" s="122" t="s">
        <v>225</v>
      </c>
      <c r="G61" s="275" t="s">
        <v>33</v>
      </c>
      <c r="H61" s="146" t="s">
        <v>226</v>
      </c>
      <c r="I61" s="168" t="s">
        <v>35</v>
      </c>
      <c r="J61" s="127"/>
      <c r="K61" s="126"/>
      <c r="L61" s="126"/>
      <c r="M61" s="128"/>
      <c r="N61" s="129"/>
      <c r="O61" s="126"/>
      <c r="P61" s="129"/>
      <c r="Q61" s="126"/>
      <c r="R61" s="126"/>
      <c r="S61" s="128"/>
      <c r="T61" s="129"/>
      <c r="U61" s="126"/>
      <c r="V61" s="126">
        <v>1</v>
      </c>
      <c r="W61" s="130"/>
      <c r="X61" s="279" t="s">
        <v>216</v>
      </c>
      <c r="Y61" s="1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1"/>
    </row>
    <row r="62" spans="1:38" s="47" customFormat="1" ht="13.5" customHeight="1" x14ac:dyDescent="0.25">
      <c r="A62" s="158" t="s">
        <v>210</v>
      </c>
      <c r="B62" s="161">
        <v>36</v>
      </c>
      <c r="C62" s="144"/>
      <c r="D62" s="144" t="s">
        <v>136</v>
      </c>
      <c r="E62" s="145" t="s">
        <v>31</v>
      </c>
      <c r="F62" s="122" t="s">
        <v>227</v>
      </c>
      <c r="G62" s="275" t="s">
        <v>33</v>
      </c>
      <c r="H62" s="146" t="s">
        <v>221</v>
      </c>
      <c r="I62" s="280" t="s">
        <v>50</v>
      </c>
      <c r="J62" s="125"/>
      <c r="K62" s="126"/>
      <c r="L62" s="127"/>
      <c r="M62" s="130"/>
      <c r="N62" s="127"/>
      <c r="O62" s="126"/>
      <c r="P62" s="127"/>
      <c r="Q62" s="126"/>
      <c r="R62" s="126"/>
      <c r="S62" s="130"/>
      <c r="T62" s="127">
        <v>1</v>
      </c>
      <c r="U62" s="126"/>
      <c r="V62" s="126"/>
      <c r="W62" s="128"/>
      <c r="X62" s="38" t="s">
        <v>92</v>
      </c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s="47" customFormat="1" ht="13.5" customHeight="1" x14ac:dyDescent="0.25">
      <c r="A63" s="158" t="s">
        <v>210</v>
      </c>
      <c r="B63" s="161">
        <v>37</v>
      </c>
      <c r="C63" s="144"/>
      <c r="D63" s="144" t="s">
        <v>133</v>
      </c>
      <c r="E63" s="145" t="s">
        <v>46</v>
      </c>
      <c r="F63" s="122" t="s">
        <v>228</v>
      </c>
      <c r="G63" s="275" t="s">
        <v>33</v>
      </c>
      <c r="H63" s="146" t="s">
        <v>229</v>
      </c>
      <c r="I63" s="278" t="s">
        <v>35</v>
      </c>
      <c r="J63" s="127"/>
      <c r="K63" s="126"/>
      <c r="L63" s="126"/>
      <c r="M63" s="128"/>
      <c r="N63" s="129"/>
      <c r="O63" s="126"/>
      <c r="P63" s="129"/>
      <c r="Q63" s="126"/>
      <c r="R63" s="126"/>
      <c r="S63" s="130"/>
      <c r="T63" s="127"/>
      <c r="U63" s="126"/>
      <c r="V63" s="126">
        <v>1</v>
      </c>
      <c r="W63" s="128"/>
      <c r="X63" s="38" t="s">
        <v>36</v>
      </c>
    </row>
    <row r="64" spans="1:38" s="47" customFormat="1" x14ac:dyDescent="0.25">
      <c r="A64" s="158" t="s">
        <v>210</v>
      </c>
      <c r="B64" s="161">
        <v>40</v>
      </c>
      <c r="C64" s="144"/>
      <c r="D64" s="144" t="s">
        <v>136</v>
      </c>
      <c r="E64" s="145" t="s">
        <v>31</v>
      </c>
      <c r="F64" s="122" t="s">
        <v>158</v>
      </c>
      <c r="G64" s="275" t="s">
        <v>33</v>
      </c>
      <c r="H64" s="146" t="s">
        <v>230</v>
      </c>
      <c r="I64" s="278" t="s">
        <v>35</v>
      </c>
      <c r="J64" s="127"/>
      <c r="K64" s="126"/>
      <c r="L64" s="126"/>
      <c r="M64" s="128"/>
      <c r="N64" s="129"/>
      <c r="O64" s="126"/>
      <c r="P64" s="129"/>
      <c r="Q64" s="126"/>
      <c r="R64" s="126"/>
      <c r="S64" s="130"/>
      <c r="T64" s="127"/>
      <c r="U64" s="126"/>
      <c r="V64" s="126">
        <v>1</v>
      </c>
      <c r="W64" s="128"/>
      <c r="X64" s="38" t="s">
        <v>216</v>
      </c>
    </row>
    <row r="65" spans="1:38" s="47" customFormat="1" x14ac:dyDescent="0.25">
      <c r="A65" s="92" t="s">
        <v>231</v>
      </c>
      <c r="B65" s="121">
        <v>6</v>
      </c>
      <c r="C65" s="120"/>
      <c r="D65" s="120" t="s">
        <v>87</v>
      </c>
      <c r="E65" s="34" t="s">
        <v>31</v>
      </c>
      <c r="F65" s="122" t="s">
        <v>232</v>
      </c>
      <c r="G65" s="281" t="s">
        <v>233</v>
      </c>
      <c r="H65" s="183" t="s">
        <v>234</v>
      </c>
      <c r="I65" s="282" t="s">
        <v>235</v>
      </c>
      <c r="J65" s="127"/>
      <c r="K65" s="126"/>
      <c r="L65" s="126"/>
      <c r="M65" s="128"/>
      <c r="N65" s="129"/>
      <c r="O65" s="126"/>
      <c r="P65" s="129"/>
      <c r="Q65" s="126">
        <v>1</v>
      </c>
      <c r="R65" s="126"/>
      <c r="S65" s="130"/>
      <c r="T65" s="127"/>
      <c r="U65" s="126"/>
      <c r="V65" s="126"/>
      <c r="W65" s="128"/>
      <c r="X65" s="131" t="s">
        <v>236</v>
      </c>
      <c r="Y65" s="1"/>
    </row>
    <row r="66" spans="1:38" s="47" customFormat="1" x14ac:dyDescent="0.25">
      <c r="A66" s="158" t="s">
        <v>237</v>
      </c>
      <c r="B66" s="161">
        <v>3</v>
      </c>
      <c r="C66" s="144"/>
      <c r="D66" s="144" t="s">
        <v>185</v>
      </c>
      <c r="E66" s="145" t="s">
        <v>31</v>
      </c>
      <c r="F66" s="122" t="s">
        <v>238</v>
      </c>
      <c r="G66" s="275" t="s">
        <v>69</v>
      </c>
      <c r="H66" s="146" t="s">
        <v>239</v>
      </c>
      <c r="I66" s="84" t="s">
        <v>140</v>
      </c>
      <c r="J66" s="125"/>
      <c r="K66" s="126"/>
      <c r="L66" s="126"/>
      <c r="M66" s="128"/>
      <c r="N66" s="129"/>
      <c r="O66" s="126"/>
      <c r="P66" s="129"/>
      <c r="Q66" s="126"/>
      <c r="R66" s="126"/>
      <c r="S66" s="130"/>
      <c r="T66" s="127">
        <v>1</v>
      </c>
      <c r="U66" s="126">
        <v>3</v>
      </c>
      <c r="V66" s="126"/>
      <c r="W66" s="128"/>
      <c r="X66" s="38" t="s">
        <v>240</v>
      </c>
    </row>
    <row r="67" spans="1:38" s="47" customFormat="1" x14ac:dyDescent="0.25">
      <c r="A67" s="158" t="s">
        <v>237</v>
      </c>
      <c r="B67" s="161">
        <v>6</v>
      </c>
      <c r="C67" s="144"/>
      <c r="D67" s="144" t="s">
        <v>74</v>
      </c>
      <c r="E67" s="145" t="s">
        <v>46</v>
      </c>
      <c r="F67" s="122" t="s">
        <v>241</v>
      </c>
      <c r="G67" s="275" t="s">
        <v>242</v>
      </c>
      <c r="H67" s="146" t="s">
        <v>243</v>
      </c>
      <c r="I67" s="131" t="s">
        <v>209</v>
      </c>
      <c r="J67" s="125"/>
      <c r="K67" s="126"/>
      <c r="L67" s="126"/>
      <c r="M67" s="128"/>
      <c r="N67" s="129"/>
      <c r="O67" s="126"/>
      <c r="P67" s="129"/>
      <c r="Q67" s="126"/>
      <c r="R67" s="126"/>
      <c r="S67" s="130"/>
      <c r="T67" s="127">
        <v>1</v>
      </c>
      <c r="U67" s="126"/>
      <c r="V67" s="126"/>
      <c r="W67" s="128"/>
      <c r="X67" s="38" t="s">
        <v>132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8" s="47" customFormat="1" x14ac:dyDescent="0.25">
      <c r="A68" s="158" t="s">
        <v>237</v>
      </c>
      <c r="B68" s="161">
        <v>7</v>
      </c>
      <c r="C68" s="144"/>
      <c r="D68" s="144" t="s">
        <v>185</v>
      </c>
      <c r="E68" s="145" t="s">
        <v>31</v>
      </c>
      <c r="F68" s="122" t="s">
        <v>244</v>
      </c>
      <c r="G68" s="275" t="s">
        <v>124</v>
      </c>
      <c r="H68" s="146" t="s">
        <v>245</v>
      </c>
      <c r="I68" s="38" t="s">
        <v>35</v>
      </c>
      <c r="J68" s="125"/>
      <c r="K68" s="126"/>
      <c r="L68" s="126"/>
      <c r="M68" s="128"/>
      <c r="N68" s="129"/>
      <c r="O68" s="126"/>
      <c r="P68" s="129"/>
      <c r="Q68" s="126"/>
      <c r="R68" s="126"/>
      <c r="S68" s="130"/>
      <c r="T68" s="127"/>
      <c r="U68" s="126"/>
      <c r="V68" s="126">
        <v>1</v>
      </c>
      <c r="W68" s="128"/>
      <c r="X68" s="38" t="s">
        <v>103</v>
      </c>
      <c r="Y68" s="1"/>
      <c r="AL68" s="1"/>
    </row>
    <row r="69" spans="1:38" s="47" customFormat="1" x14ac:dyDescent="0.25">
      <c r="A69" s="158" t="s">
        <v>237</v>
      </c>
      <c r="B69" s="161">
        <v>12</v>
      </c>
      <c r="C69" s="134"/>
      <c r="D69" s="134" t="s">
        <v>246</v>
      </c>
      <c r="E69" s="145" t="s">
        <v>26</v>
      </c>
      <c r="F69" s="122" t="s">
        <v>247</v>
      </c>
      <c r="G69" s="162" t="s">
        <v>33</v>
      </c>
      <c r="H69" s="146" t="s">
        <v>248</v>
      </c>
      <c r="I69" s="283" t="s">
        <v>50</v>
      </c>
      <c r="J69" s="74"/>
      <c r="K69" s="75"/>
      <c r="L69" s="75"/>
      <c r="M69" s="141"/>
      <c r="N69" s="139"/>
      <c r="O69" s="75"/>
      <c r="P69" s="139"/>
      <c r="Q69" s="75"/>
      <c r="R69" s="75"/>
      <c r="S69" s="141"/>
      <c r="T69" s="139">
        <v>1</v>
      </c>
      <c r="U69" s="75"/>
      <c r="V69" s="75"/>
      <c r="W69" s="140"/>
      <c r="X69" s="170" t="s">
        <v>249</v>
      </c>
    </row>
    <row r="70" spans="1:38" s="47" customFormat="1" x14ac:dyDescent="0.25">
      <c r="A70" s="158" t="s">
        <v>237</v>
      </c>
      <c r="B70" s="161">
        <v>32</v>
      </c>
      <c r="C70" s="134"/>
      <c r="D70" s="134" t="s">
        <v>188</v>
      </c>
      <c r="E70" s="145" t="s">
        <v>84</v>
      </c>
      <c r="F70" s="122" t="s">
        <v>250</v>
      </c>
      <c r="G70" s="275" t="s">
        <v>251</v>
      </c>
      <c r="H70" s="146" t="s">
        <v>221</v>
      </c>
      <c r="I70" s="284" t="s">
        <v>50</v>
      </c>
      <c r="J70" s="129"/>
      <c r="K70" s="126"/>
      <c r="L70" s="126"/>
      <c r="M70" s="128"/>
      <c r="N70" s="129"/>
      <c r="O70" s="126"/>
      <c r="P70" s="129"/>
      <c r="Q70" s="126"/>
      <c r="R70" s="126"/>
      <c r="S70" s="130"/>
      <c r="T70" s="127"/>
      <c r="U70" s="126">
        <v>4</v>
      </c>
      <c r="V70" s="126"/>
      <c r="W70" s="128"/>
      <c r="X70" s="38" t="s">
        <v>252</v>
      </c>
    </row>
    <row r="71" spans="1:38" s="47" customFormat="1" x14ac:dyDescent="0.25">
      <c r="A71" s="158" t="s">
        <v>237</v>
      </c>
      <c r="B71" s="161">
        <v>59</v>
      </c>
      <c r="C71" s="134"/>
      <c r="D71" s="134" t="s">
        <v>77</v>
      </c>
      <c r="E71" s="145" t="s">
        <v>78</v>
      </c>
      <c r="F71" s="122" t="s">
        <v>253</v>
      </c>
      <c r="G71" s="162" t="s">
        <v>69</v>
      </c>
      <c r="H71" s="146" t="s">
        <v>254</v>
      </c>
      <c r="I71" s="272" t="s">
        <v>140</v>
      </c>
      <c r="J71" s="74"/>
      <c r="K71" s="75"/>
      <c r="L71" s="75"/>
      <c r="M71" s="141"/>
      <c r="N71" s="139"/>
      <c r="O71" s="75"/>
      <c r="P71" s="139"/>
      <c r="Q71" s="75"/>
      <c r="R71" s="75"/>
      <c r="S71" s="141"/>
      <c r="T71" s="139"/>
      <c r="U71" s="75">
        <v>1</v>
      </c>
      <c r="V71" s="75"/>
      <c r="W71" s="141"/>
      <c r="X71" s="170" t="s">
        <v>198</v>
      </c>
      <c r="AK71" s="1"/>
    </row>
    <row r="72" spans="1:38" s="47" customFormat="1" x14ac:dyDescent="0.25">
      <c r="A72" s="158" t="s">
        <v>237</v>
      </c>
      <c r="B72" s="161">
        <v>63</v>
      </c>
      <c r="C72" s="134"/>
      <c r="D72" s="134" t="s">
        <v>77</v>
      </c>
      <c r="E72" s="145" t="s">
        <v>78</v>
      </c>
      <c r="F72" s="122" t="s">
        <v>40</v>
      </c>
      <c r="G72" s="162" t="s">
        <v>251</v>
      </c>
      <c r="H72" s="146" t="s">
        <v>255</v>
      </c>
      <c r="I72" s="272" t="s">
        <v>50</v>
      </c>
      <c r="J72" s="74"/>
      <c r="K72" s="75"/>
      <c r="L72" s="75"/>
      <c r="M72" s="141"/>
      <c r="N72" s="139"/>
      <c r="O72" s="75"/>
      <c r="P72" s="139"/>
      <c r="Q72" s="75"/>
      <c r="R72" s="75"/>
      <c r="S72" s="141"/>
      <c r="T72" s="139">
        <v>2</v>
      </c>
      <c r="U72" s="75"/>
      <c r="V72" s="75"/>
      <c r="W72" s="141"/>
      <c r="X72" s="170" t="s">
        <v>126</v>
      </c>
    </row>
    <row r="73" spans="1:38" s="47" customFormat="1" x14ac:dyDescent="0.25">
      <c r="A73" s="158" t="s">
        <v>237</v>
      </c>
      <c r="B73" s="161">
        <v>64</v>
      </c>
      <c r="C73" s="134"/>
      <c r="D73" s="134" t="s">
        <v>77</v>
      </c>
      <c r="E73" s="145" t="s">
        <v>78</v>
      </c>
      <c r="F73" s="122" t="s">
        <v>256</v>
      </c>
      <c r="G73" s="162" t="s">
        <v>33</v>
      </c>
      <c r="H73" s="146" t="s">
        <v>257</v>
      </c>
      <c r="I73" s="273" t="s">
        <v>35</v>
      </c>
      <c r="J73" s="74"/>
      <c r="K73" s="75"/>
      <c r="L73" s="75"/>
      <c r="M73" s="141"/>
      <c r="N73" s="139"/>
      <c r="O73" s="75"/>
      <c r="P73" s="139"/>
      <c r="Q73" s="75"/>
      <c r="R73" s="75">
        <v>1</v>
      </c>
      <c r="S73" s="141"/>
      <c r="T73" s="139"/>
      <c r="U73" s="75"/>
      <c r="V73" s="75"/>
      <c r="W73" s="141"/>
      <c r="X73" s="170" t="s">
        <v>43</v>
      </c>
      <c r="Y73" s="1"/>
    </row>
    <row r="74" spans="1:38" s="47" customFormat="1" x14ac:dyDescent="0.25">
      <c r="A74" s="158" t="s">
        <v>237</v>
      </c>
      <c r="B74" s="161">
        <v>73</v>
      </c>
      <c r="C74" s="134"/>
      <c r="D74" s="134" t="s">
        <v>77</v>
      </c>
      <c r="E74" s="285" t="s">
        <v>78</v>
      </c>
      <c r="F74" s="122" t="s">
        <v>219</v>
      </c>
      <c r="G74" s="277" t="s">
        <v>33</v>
      </c>
      <c r="H74" s="286" t="s">
        <v>258</v>
      </c>
      <c r="I74" s="84" t="s">
        <v>140</v>
      </c>
      <c r="J74" s="74"/>
      <c r="K74" s="75"/>
      <c r="L74" s="75"/>
      <c r="M74" s="141"/>
      <c r="N74" s="139"/>
      <c r="O74" s="75"/>
      <c r="P74" s="139"/>
      <c r="Q74" s="75">
        <v>1</v>
      </c>
      <c r="R74" s="75"/>
      <c r="S74" s="141"/>
      <c r="T74" s="139">
        <v>1</v>
      </c>
      <c r="U74" s="75"/>
      <c r="V74" s="75"/>
      <c r="W74" s="141"/>
      <c r="X74" s="170" t="s">
        <v>150</v>
      </c>
    </row>
    <row r="75" spans="1:38" s="47" customFormat="1" x14ac:dyDescent="0.25">
      <c r="A75" s="158" t="s">
        <v>237</v>
      </c>
      <c r="B75" s="161">
        <v>75</v>
      </c>
      <c r="C75" s="134"/>
      <c r="D75" s="134" t="s">
        <v>54</v>
      </c>
      <c r="E75" s="145" t="s">
        <v>46</v>
      </c>
      <c r="F75" s="122" t="s">
        <v>259</v>
      </c>
      <c r="G75" s="162" t="s">
        <v>251</v>
      </c>
      <c r="H75" s="163" t="s">
        <v>221</v>
      </c>
      <c r="I75" s="84" t="s">
        <v>146</v>
      </c>
      <c r="J75" s="139"/>
      <c r="K75" s="75"/>
      <c r="L75" s="75"/>
      <c r="M75" s="140"/>
      <c r="N75" s="74"/>
      <c r="O75" s="75"/>
      <c r="P75" s="74"/>
      <c r="Q75" s="75"/>
      <c r="R75" s="75"/>
      <c r="S75" s="141"/>
      <c r="T75" s="139"/>
      <c r="U75" s="75">
        <v>1</v>
      </c>
      <c r="V75" s="75"/>
      <c r="W75" s="140"/>
      <c r="X75" s="170" t="s">
        <v>213</v>
      </c>
      <c r="Y75" s="1"/>
    </row>
    <row r="76" spans="1:38" s="47" customFormat="1" x14ac:dyDescent="0.25">
      <c r="A76" s="158" t="s">
        <v>237</v>
      </c>
      <c r="B76" s="161">
        <v>76</v>
      </c>
      <c r="C76" s="287" t="s">
        <v>260</v>
      </c>
      <c r="D76" s="134" t="s">
        <v>54</v>
      </c>
      <c r="E76" s="145" t="s">
        <v>46</v>
      </c>
      <c r="F76" s="122" t="s">
        <v>261</v>
      </c>
      <c r="G76" s="162" t="s">
        <v>33</v>
      </c>
      <c r="H76" s="163" t="s">
        <v>262</v>
      </c>
      <c r="I76" s="168" t="s">
        <v>35</v>
      </c>
      <c r="J76" s="139"/>
      <c r="K76" s="75"/>
      <c r="L76" s="75">
        <v>1</v>
      </c>
      <c r="M76" s="140"/>
      <c r="N76" s="74">
        <v>1</v>
      </c>
      <c r="O76" s="75"/>
      <c r="P76" s="74"/>
      <c r="Q76" s="75"/>
      <c r="R76" s="75"/>
      <c r="S76" s="141"/>
      <c r="T76" s="139"/>
      <c r="U76" s="75"/>
      <c r="V76" s="75"/>
      <c r="W76" s="140"/>
      <c r="X76" s="170" t="s">
        <v>57</v>
      </c>
    </row>
    <row r="77" spans="1:38" s="47" customFormat="1" x14ac:dyDescent="0.25">
      <c r="A77" s="158" t="s">
        <v>237</v>
      </c>
      <c r="B77" s="161">
        <v>78</v>
      </c>
      <c r="C77" s="134"/>
      <c r="D77" s="134" t="s">
        <v>30</v>
      </c>
      <c r="E77" s="145" t="s">
        <v>31</v>
      </c>
      <c r="F77" s="288" t="s">
        <v>263</v>
      </c>
      <c r="G77" s="289" t="s">
        <v>69</v>
      </c>
      <c r="H77" s="290" t="s">
        <v>264</v>
      </c>
      <c r="I77" s="84" t="s">
        <v>50</v>
      </c>
      <c r="J77" s="291"/>
      <c r="K77" s="126"/>
      <c r="L77" s="292"/>
      <c r="M77" s="293"/>
      <c r="N77" s="294"/>
      <c r="O77" s="295"/>
      <c r="P77" s="294">
        <v>1</v>
      </c>
      <c r="Q77" s="295">
        <v>1</v>
      </c>
      <c r="R77" s="295"/>
      <c r="S77" s="296"/>
      <c r="T77" s="292">
        <v>1</v>
      </c>
      <c r="U77" s="295"/>
      <c r="V77" s="295"/>
      <c r="W77" s="293"/>
      <c r="X77" s="107" t="s">
        <v>213</v>
      </c>
    </row>
    <row r="78" spans="1:38" s="47" customFormat="1" x14ac:dyDescent="0.25">
      <c r="A78" s="158" t="s">
        <v>237</v>
      </c>
      <c r="B78" s="93">
        <v>82</v>
      </c>
      <c r="C78" s="134"/>
      <c r="D78" s="134" t="s">
        <v>30</v>
      </c>
      <c r="E78" s="145" t="s">
        <v>31</v>
      </c>
      <c r="F78" s="288" t="s">
        <v>265</v>
      </c>
      <c r="G78" s="289" t="s">
        <v>69</v>
      </c>
      <c r="H78" s="290" t="s">
        <v>264</v>
      </c>
      <c r="I78" s="84" t="s">
        <v>50</v>
      </c>
      <c r="J78" s="291"/>
      <c r="K78" s="126"/>
      <c r="L78" s="292"/>
      <c r="M78" s="293"/>
      <c r="N78" s="294"/>
      <c r="O78" s="295"/>
      <c r="P78" s="294"/>
      <c r="Q78" s="295"/>
      <c r="R78" s="295"/>
      <c r="S78" s="296"/>
      <c r="T78" s="292">
        <v>1</v>
      </c>
      <c r="U78" s="295"/>
      <c r="V78" s="295"/>
      <c r="W78" s="293"/>
      <c r="X78" s="107" t="s">
        <v>266</v>
      </c>
      <c r="AL78" s="46"/>
    </row>
    <row r="79" spans="1:38" s="47" customFormat="1" x14ac:dyDescent="0.25">
      <c r="A79" s="158" t="s">
        <v>237</v>
      </c>
      <c r="B79" s="161">
        <v>86</v>
      </c>
      <c r="C79" s="144"/>
      <c r="D79" s="144" t="s">
        <v>30</v>
      </c>
      <c r="E79" s="145" t="s">
        <v>31</v>
      </c>
      <c r="F79" s="122" t="s">
        <v>173</v>
      </c>
      <c r="G79" s="162" t="s">
        <v>33</v>
      </c>
      <c r="H79" s="163" t="s">
        <v>267</v>
      </c>
      <c r="I79" s="84" t="s">
        <v>50</v>
      </c>
      <c r="J79" s="125"/>
      <c r="K79" s="126"/>
      <c r="L79" s="127"/>
      <c r="M79" s="128"/>
      <c r="N79" s="129"/>
      <c r="O79" s="126"/>
      <c r="P79" s="129">
        <v>1</v>
      </c>
      <c r="Q79" s="126"/>
      <c r="R79" s="126"/>
      <c r="S79" s="130"/>
      <c r="T79" s="127"/>
      <c r="U79" s="126"/>
      <c r="V79" s="126"/>
      <c r="W79" s="128"/>
      <c r="X79" s="38" t="s">
        <v>268</v>
      </c>
      <c r="Y79" s="46"/>
      <c r="AK79" s="46"/>
    </row>
    <row r="80" spans="1:38" s="47" customFormat="1" x14ac:dyDescent="0.25">
      <c r="A80" s="158" t="s">
        <v>237</v>
      </c>
      <c r="B80" s="93">
        <v>90</v>
      </c>
      <c r="C80" s="134"/>
      <c r="D80" s="134" t="s">
        <v>77</v>
      </c>
      <c r="E80" s="145" t="s">
        <v>78</v>
      </c>
      <c r="F80" s="288" t="s">
        <v>265</v>
      </c>
      <c r="G80" s="289" t="s">
        <v>69</v>
      </c>
      <c r="H80" s="290" t="s">
        <v>269</v>
      </c>
      <c r="I80" s="84" t="s">
        <v>50</v>
      </c>
      <c r="J80" s="125"/>
      <c r="K80" s="126"/>
      <c r="L80" s="127"/>
      <c r="M80" s="128"/>
      <c r="N80" s="129"/>
      <c r="O80" s="126"/>
      <c r="P80" s="129"/>
      <c r="Q80" s="126"/>
      <c r="R80" s="126"/>
      <c r="S80" s="130"/>
      <c r="T80" s="127">
        <v>1</v>
      </c>
      <c r="U80" s="126"/>
      <c r="V80" s="126"/>
      <c r="W80" s="128"/>
      <c r="X80" s="38" t="s">
        <v>157</v>
      </c>
      <c r="Y80" s="1"/>
      <c r="AL80" s="46"/>
    </row>
    <row r="81" spans="1:38" s="47" customFormat="1" x14ac:dyDescent="0.25">
      <c r="A81" s="158" t="s">
        <v>237</v>
      </c>
      <c r="B81" s="93">
        <v>101</v>
      </c>
      <c r="C81" s="144"/>
      <c r="D81" s="144" t="s">
        <v>164</v>
      </c>
      <c r="E81" s="145" t="s">
        <v>26</v>
      </c>
      <c r="F81" s="288" t="s">
        <v>129</v>
      </c>
      <c r="G81" s="289" t="s">
        <v>251</v>
      </c>
      <c r="H81" s="297" t="s">
        <v>270</v>
      </c>
      <c r="I81" s="107" t="s">
        <v>35</v>
      </c>
      <c r="J81" s="298"/>
      <c r="K81" s="126"/>
      <c r="L81" s="292"/>
      <c r="M81" s="296"/>
      <c r="N81" s="294"/>
      <c r="O81" s="295"/>
      <c r="P81" s="294"/>
      <c r="Q81" s="295"/>
      <c r="R81" s="295"/>
      <c r="S81" s="296"/>
      <c r="T81" s="294"/>
      <c r="U81" s="295"/>
      <c r="V81" s="295">
        <v>1</v>
      </c>
      <c r="W81" s="296"/>
      <c r="X81" s="107" t="s">
        <v>43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8" s="47" customFormat="1" x14ac:dyDescent="0.25">
      <c r="A82" s="158" t="s">
        <v>237</v>
      </c>
      <c r="B82" s="93">
        <v>106</v>
      </c>
      <c r="C82" s="144"/>
      <c r="D82" s="144" t="s">
        <v>271</v>
      </c>
      <c r="E82" s="145" t="s">
        <v>117</v>
      </c>
      <c r="F82" s="288" t="s">
        <v>272</v>
      </c>
      <c r="G82" s="289" t="s">
        <v>33</v>
      </c>
      <c r="H82" s="297" t="s">
        <v>273</v>
      </c>
      <c r="I82" s="238" t="s">
        <v>50</v>
      </c>
      <c r="J82" s="298"/>
      <c r="K82" s="126"/>
      <c r="L82" s="292"/>
      <c r="M82" s="296"/>
      <c r="N82" s="294"/>
      <c r="O82" s="295"/>
      <c r="P82" s="294"/>
      <c r="Q82" s="295"/>
      <c r="R82" s="295"/>
      <c r="S82" s="296"/>
      <c r="T82" s="294"/>
      <c r="U82" s="295">
        <v>1</v>
      </c>
      <c r="V82" s="295"/>
      <c r="W82" s="296"/>
      <c r="X82" s="107" t="s">
        <v>274</v>
      </c>
    </row>
    <row r="83" spans="1:38" s="47" customFormat="1" x14ac:dyDescent="0.25">
      <c r="A83" s="158" t="s">
        <v>237</v>
      </c>
      <c r="B83" s="161">
        <v>109</v>
      </c>
      <c r="C83" s="144"/>
      <c r="D83" s="144" t="s">
        <v>83</v>
      </c>
      <c r="E83" s="145" t="s">
        <v>84</v>
      </c>
      <c r="F83" s="122" t="s">
        <v>275</v>
      </c>
      <c r="G83" s="162" t="s">
        <v>251</v>
      </c>
      <c r="H83" s="163" t="s">
        <v>221</v>
      </c>
      <c r="I83" s="84" t="s">
        <v>50</v>
      </c>
      <c r="J83" s="125"/>
      <c r="K83" s="126"/>
      <c r="L83" s="126"/>
      <c r="M83" s="128"/>
      <c r="N83" s="129"/>
      <c r="O83" s="126"/>
      <c r="P83" s="129"/>
      <c r="Q83" s="126"/>
      <c r="R83" s="126"/>
      <c r="S83" s="130"/>
      <c r="T83" s="127">
        <v>1</v>
      </c>
      <c r="U83" s="126">
        <v>1</v>
      </c>
      <c r="V83" s="126"/>
      <c r="W83" s="128"/>
      <c r="X83" s="38" t="s">
        <v>51</v>
      </c>
    </row>
    <row r="84" spans="1:38" s="47" customFormat="1" x14ac:dyDescent="0.25">
      <c r="A84" s="158" t="s">
        <v>237</v>
      </c>
      <c r="B84" s="161">
        <v>110</v>
      </c>
      <c r="C84" s="144"/>
      <c r="D84" s="144" t="s">
        <v>271</v>
      </c>
      <c r="E84" s="145" t="s">
        <v>117</v>
      </c>
      <c r="F84" s="122" t="s">
        <v>276</v>
      </c>
      <c r="G84" s="162" t="s">
        <v>33</v>
      </c>
      <c r="H84" s="299" t="s">
        <v>277</v>
      </c>
      <c r="I84" s="84" t="s">
        <v>50</v>
      </c>
      <c r="J84" s="125"/>
      <c r="K84" s="126"/>
      <c r="L84" s="126"/>
      <c r="M84" s="128"/>
      <c r="N84" s="129"/>
      <c r="O84" s="126"/>
      <c r="P84" s="129"/>
      <c r="Q84" s="126"/>
      <c r="R84" s="126"/>
      <c r="S84" s="130"/>
      <c r="T84" s="127">
        <v>1</v>
      </c>
      <c r="U84" s="126">
        <v>1</v>
      </c>
      <c r="V84" s="126"/>
      <c r="W84" s="128"/>
      <c r="X84" s="38" t="s">
        <v>278</v>
      </c>
    </row>
    <row r="85" spans="1:38" s="47" customFormat="1" x14ac:dyDescent="0.25">
      <c r="A85" s="158" t="s">
        <v>237</v>
      </c>
      <c r="B85" s="161">
        <v>111</v>
      </c>
      <c r="C85" s="144"/>
      <c r="D85" s="144" t="s">
        <v>83</v>
      </c>
      <c r="E85" s="145" t="s">
        <v>84</v>
      </c>
      <c r="F85" s="122" t="s">
        <v>47</v>
      </c>
      <c r="G85" s="275" t="s">
        <v>279</v>
      </c>
      <c r="H85" s="146" t="s">
        <v>280</v>
      </c>
      <c r="I85" s="84" t="s">
        <v>140</v>
      </c>
      <c r="J85" s="125"/>
      <c r="K85" s="126"/>
      <c r="L85" s="126"/>
      <c r="M85" s="128"/>
      <c r="N85" s="129"/>
      <c r="O85" s="126"/>
      <c r="P85" s="129"/>
      <c r="Q85" s="126"/>
      <c r="R85" s="126"/>
      <c r="S85" s="130"/>
      <c r="T85" s="127">
        <v>1</v>
      </c>
      <c r="U85" s="126"/>
      <c r="V85" s="126"/>
      <c r="W85" s="128"/>
      <c r="X85" s="38" t="s">
        <v>150</v>
      </c>
      <c r="AK85" s="1"/>
    </row>
    <row r="86" spans="1:38" s="47" customFormat="1" x14ac:dyDescent="0.25">
      <c r="A86" s="158" t="s">
        <v>237</v>
      </c>
      <c r="B86" s="161">
        <v>120</v>
      </c>
      <c r="C86" s="144"/>
      <c r="D86" s="144" t="s">
        <v>271</v>
      </c>
      <c r="E86" s="145" t="s">
        <v>117</v>
      </c>
      <c r="F86" s="122" t="s">
        <v>281</v>
      </c>
      <c r="G86" s="275" t="s">
        <v>69</v>
      </c>
      <c r="H86" s="146" t="s">
        <v>264</v>
      </c>
      <c r="I86" s="84" t="s">
        <v>50</v>
      </c>
      <c r="J86" s="125"/>
      <c r="K86" s="126"/>
      <c r="L86" s="126"/>
      <c r="M86" s="128"/>
      <c r="N86" s="129"/>
      <c r="O86" s="126"/>
      <c r="P86" s="129">
        <v>1</v>
      </c>
      <c r="Q86" s="126">
        <v>3</v>
      </c>
      <c r="R86" s="126"/>
      <c r="S86" s="130"/>
      <c r="T86" s="127">
        <v>1</v>
      </c>
      <c r="U86" s="126">
        <v>2</v>
      </c>
      <c r="V86" s="126"/>
      <c r="W86" s="128"/>
      <c r="X86" s="38" t="s">
        <v>126</v>
      </c>
      <c r="Y86" s="1"/>
    </row>
    <row r="87" spans="1:38" s="47" customFormat="1" x14ac:dyDescent="0.25">
      <c r="A87" s="158" t="s">
        <v>237</v>
      </c>
      <c r="B87" s="161">
        <v>139</v>
      </c>
      <c r="C87" s="144"/>
      <c r="D87" s="144" t="s">
        <v>45</v>
      </c>
      <c r="E87" s="145" t="s">
        <v>46</v>
      </c>
      <c r="F87" s="122" t="s">
        <v>186</v>
      </c>
      <c r="G87" s="275" t="s">
        <v>251</v>
      </c>
      <c r="H87" s="146" t="s">
        <v>221</v>
      </c>
      <c r="I87" s="84" t="s">
        <v>140</v>
      </c>
      <c r="J87" s="125"/>
      <c r="K87" s="126"/>
      <c r="L87" s="126"/>
      <c r="M87" s="128"/>
      <c r="N87" s="129"/>
      <c r="O87" s="126"/>
      <c r="P87" s="129"/>
      <c r="Q87" s="126"/>
      <c r="R87" s="126"/>
      <c r="S87" s="130"/>
      <c r="T87" s="127">
        <v>1</v>
      </c>
      <c r="U87" s="126"/>
      <c r="V87" s="126"/>
      <c r="W87" s="128"/>
      <c r="X87" s="38" t="s">
        <v>150</v>
      </c>
      <c r="AI87" s="46"/>
      <c r="AJ87" s="46"/>
      <c r="AK87" s="46"/>
    </row>
    <row r="88" spans="1:38" s="47" customFormat="1" x14ac:dyDescent="0.25">
      <c r="A88" s="158" t="s">
        <v>237</v>
      </c>
      <c r="B88" s="161">
        <v>145</v>
      </c>
      <c r="C88" s="144"/>
      <c r="D88" s="144" t="s">
        <v>178</v>
      </c>
      <c r="E88" s="145" t="s">
        <v>78</v>
      </c>
      <c r="F88" s="122" t="s">
        <v>282</v>
      </c>
      <c r="G88" s="275" t="s">
        <v>33</v>
      </c>
      <c r="H88" s="146" t="s">
        <v>283</v>
      </c>
      <c r="I88" s="84" t="s">
        <v>140</v>
      </c>
      <c r="J88" s="125"/>
      <c r="K88" s="126"/>
      <c r="L88" s="126"/>
      <c r="M88" s="128"/>
      <c r="N88" s="129"/>
      <c r="O88" s="126"/>
      <c r="P88" s="129">
        <v>1</v>
      </c>
      <c r="Q88" s="126"/>
      <c r="R88" s="126"/>
      <c r="S88" s="130"/>
      <c r="T88" s="127"/>
      <c r="U88" s="126"/>
      <c r="V88" s="126"/>
      <c r="W88" s="128"/>
      <c r="X88" s="38" t="s">
        <v>150</v>
      </c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1"/>
    </row>
    <row r="89" spans="1:38" s="47" customFormat="1" x14ac:dyDescent="0.25">
      <c r="A89" s="158" t="s">
        <v>237</v>
      </c>
      <c r="B89" s="161">
        <v>149</v>
      </c>
      <c r="C89" s="144"/>
      <c r="D89" s="144" t="s">
        <v>45</v>
      </c>
      <c r="E89" s="145" t="s">
        <v>46</v>
      </c>
      <c r="F89" s="122" t="s">
        <v>284</v>
      </c>
      <c r="G89" s="275" t="s">
        <v>69</v>
      </c>
      <c r="H89" s="146" t="s">
        <v>264</v>
      </c>
      <c r="I89" s="84" t="s">
        <v>140</v>
      </c>
      <c r="J89" s="125"/>
      <c r="K89" s="126"/>
      <c r="L89" s="126"/>
      <c r="M89" s="128"/>
      <c r="N89" s="129"/>
      <c r="O89" s="126"/>
      <c r="P89" s="129">
        <v>1</v>
      </c>
      <c r="Q89" s="126"/>
      <c r="R89" s="126"/>
      <c r="S89" s="130"/>
      <c r="T89" s="127"/>
      <c r="U89" s="126"/>
      <c r="V89" s="126"/>
      <c r="W89" s="128"/>
      <c r="X89" s="38" t="s">
        <v>150</v>
      </c>
      <c r="AK89" s="1"/>
    </row>
    <row r="90" spans="1:38" s="47" customFormat="1" x14ac:dyDescent="0.25">
      <c r="A90" s="158" t="s">
        <v>237</v>
      </c>
      <c r="B90" s="161">
        <v>158</v>
      </c>
      <c r="C90" s="144"/>
      <c r="D90" s="144" t="s">
        <v>142</v>
      </c>
      <c r="E90" s="145" t="s">
        <v>26</v>
      </c>
      <c r="F90" s="122" t="s">
        <v>238</v>
      </c>
      <c r="G90" s="275" t="s">
        <v>69</v>
      </c>
      <c r="H90" s="146" t="s">
        <v>285</v>
      </c>
      <c r="I90" s="84" t="s">
        <v>140</v>
      </c>
      <c r="J90" s="125"/>
      <c r="K90" s="126"/>
      <c r="L90" s="126"/>
      <c r="M90" s="128"/>
      <c r="N90" s="129"/>
      <c r="O90" s="126"/>
      <c r="P90" s="129"/>
      <c r="Q90" s="126"/>
      <c r="R90" s="126"/>
      <c r="S90" s="130"/>
      <c r="T90" s="127">
        <v>1</v>
      </c>
      <c r="U90" s="126"/>
      <c r="V90" s="126"/>
      <c r="W90" s="128"/>
      <c r="X90" s="38" t="s">
        <v>286</v>
      </c>
      <c r="Y90" s="1"/>
    </row>
    <row r="91" spans="1:38" s="47" customFormat="1" x14ac:dyDescent="0.25">
      <c r="A91" s="158" t="s">
        <v>237</v>
      </c>
      <c r="B91" s="161">
        <v>167</v>
      </c>
      <c r="C91" s="144"/>
      <c r="D91" s="144" t="s">
        <v>142</v>
      </c>
      <c r="E91" s="145" t="s">
        <v>26</v>
      </c>
      <c r="F91" s="122" t="s">
        <v>287</v>
      </c>
      <c r="G91" s="275" t="s">
        <v>69</v>
      </c>
      <c r="H91" s="146" t="s">
        <v>288</v>
      </c>
      <c r="I91" s="168" t="s">
        <v>131</v>
      </c>
      <c r="J91" s="125"/>
      <c r="K91" s="126"/>
      <c r="L91" s="126"/>
      <c r="M91" s="128"/>
      <c r="N91" s="129"/>
      <c r="O91" s="126"/>
      <c r="P91" s="129"/>
      <c r="Q91" s="126"/>
      <c r="R91" s="126"/>
      <c r="S91" s="130"/>
      <c r="T91" s="127">
        <v>1</v>
      </c>
      <c r="U91" s="126"/>
      <c r="V91" s="126"/>
      <c r="W91" s="128"/>
      <c r="X91" s="38" t="s">
        <v>150</v>
      </c>
      <c r="Y91" s="46"/>
      <c r="AL91" s="1"/>
    </row>
    <row r="92" spans="1:38" s="47" customFormat="1" x14ac:dyDescent="0.25">
      <c r="A92" s="158" t="s">
        <v>237</v>
      </c>
      <c r="B92" s="161">
        <v>194</v>
      </c>
      <c r="C92" s="144"/>
      <c r="D92" s="144" t="s">
        <v>289</v>
      </c>
      <c r="E92" s="145" t="s">
        <v>78</v>
      </c>
      <c r="F92" s="122" t="s">
        <v>290</v>
      </c>
      <c r="G92" s="275" t="s">
        <v>33</v>
      </c>
      <c r="H92" s="146" t="s">
        <v>291</v>
      </c>
      <c r="I92" s="278" t="s">
        <v>292</v>
      </c>
      <c r="J92" s="127"/>
      <c r="K92" s="126"/>
      <c r="L92" s="126"/>
      <c r="M92" s="128"/>
      <c r="N92" s="129"/>
      <c r="O92" s="126"/>
      <c r="P92" s="129"/>
      <c r="Q92" s="126"/>
      <c r="R92" s="126"/>
      <c r="S92" s="130"/>
      <c r="T92" s="127">
        <v>1</v>
      </c>
      <c r="U92" s="126"/>
      <c r="V92" s="126"/>
      <c r="W92" s="128"/>
      <c r="X92" s="38" t="s">
        <v>132</v>
      </c>
      <c r="Y92" s="1"/>
    </row>
    <row r="93" spans="1:38" s="47" customFormat="1" x14ac:dyDescent="0.25">
      <c r="A93" s="158" t="s">
        <v>237</v>
      </c>
      <c r="B93" s="251">
        <v>200</v>
      </c>
      <c r="C93" s="144"/>
      <c r="D93" s="144" t="s">
        <v>289</v>
      </c>
      <c r="E93" s="145" t="s">
        <v>78</v>
      </c>
      <c r="F93" s="122" t="s">
        <v>293</v>
      </c>
      <c r="G93" s="275" t="s">
        <v>33</v>
      </c>
      <c r="H93" s="146" t="s">
        <v>294</v>
      </c>
      <c r="I93" s="278" t="s">
        <v>50</v>
      </c>
      <c r="J93" s="127"/>
      <c r="K93" s="126"/>
      <c r="L93" s="126"/>
      <c r="M93" s="128"/>
      <c r="N93" s="129"/>
      <c r="O93" s="126"/>
      <c r="P93" s="129">
        <v>1</v>
      </c>
      <c r="Q93" s="126"/>
      <c r="R93" s="126"/>
      <c r="S93" s="130"/>
      <c r="T93" s="127"/>
      <c r="U93" s="126"/>
      <c r="V93" s="126"/>
      <c r="W93" s="128"/>
      <c r="X93" s="38" t="s">
        <v>249</v>
      </c>
    </row>
    <row r="94" spans="1:38" s="47" customFormat="1" x14ac:dyDescent="0.25">
      <c r="A94" s="158" t="s">
        <v>237</v>
      </c>
      <c r="B94" s="161">
        <v>204</v>
      </c>
      <c r="C94" s="134"/>
      <c r="D94" s="134" t="s">
        <v>104</v>
      </c>
      <c r="E94" s="145" t="s">
        <v>46</v>
      </c>
      <c r="F94" s="122" t="s">
        <v>295</v>
      </c>
      <c r="G94" s="162" t="s">
        <v>33</v>
      </c>
      <c r="H94" s="146" t="s">
        <v>296</v>
      </c>
      <c r="I94" s="276" t="s">
        <v>50</v>
      </c>
      <c r="J94" s="74"/>
      <c r="K94" s="75"/>
      <c r="L94" s="75"/>
      <c r="M94" s="141"/>
      <c r="N94" s="139"/>
      <c r="O94" s="75"/>
      <c r="P94" s="139"/>
      <c r="Q94" s="75"/>
      <c r="R94" s="75"/>
      <c r="S94" s="141"/>
      <c r="T94" s="139">
        <v>1</v>
      </c>
      <c r="U94" s="75"/>
      <c r="V94" s="75"/>
      <c r="W94" s="141"/>
      <c r="X94" s="170" t="s">
        <v>92</v>
      </c>
      <c r="Y94" s="1"/>
    </row>
    <row r="95" spans="1:38" s="47" customFormat="1" x14ac:dyDescent="0.25">
      <c r="A95" s="158" t="s">
        <v>237</v>
      </c>
      <c r="B95" s="161">
        <v>208</v>
      </c>
      <c r="C95" s="134"/>
      <c r="D95" s="134" t="s">
        <v>104</v>
      </c>
      <c r="E95" s="145" t="s">
        <v>46</v>
      </c>
      <c r="F95" s="122" t="s">
        <v>32</v>
      </c>
      <c r="G95" s="162" t="s">
        <v>69</v>
      </c>
      <c r="H95" s="299" t="s">
        <v>239</v>
      </c>
      <c r="I95" s="276" t="s">
        <v>50</v>
      </c>
      <c r="J95" s="74"/>
      <c r="K95" s="75"/>
      <c r="L95" s="75"/>
      <c r="M95" s="140"/>
      <c r="N95" s="74"/>
      <c r="O95" s="75"/>
      <c r="P95" s="74"/>
      <c r="Q95" s="75"/>
      <c r="R95" s="75"/>
      <c r="S95" s="141"/>
      <c r="T95" s="139">
        <v>2</v>
      </c>
      <c r="U95" s="75">
        <v>5</v>
      </c>
      <c r="V95" s="75"/>
      <c r="W95" s="141"/>
      <c r="X95" s="170" t="s">
        <v>297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8" s="47" customFormat="1" x14ac:dyDescent="0.25">
      <c r="A96" s="158" t="s">
        <v>237</v>
      </c>
      <c r="B96" s="161">
        <v>213</v>
      </c>
      <c r="C96" s="144"/>
      <c r="D96" s="144" t="s">
        <v>104</v>
      </c>
      <c r="E96" s="145" t="s">
        <v>46</v>
      </c>
      <c r="F96" s="122" t="s">
        <v>298</v>
      </c>
      <c r="G96" s="275" t="s">
        <v>33</v>
      </c>
      <c r="H96" s="146" t="s">
        <v>299</v>
      </c>
      <c r="I96" s="168" t="s">
        <v>50</v>
      </c>
      <c r="J96" s="125"/>
      <c r="K96" s="126"/>
      <c r="L96" s="126"/>
      <c r="M96" s="128"/>
      <c r="N96" s="129"/>
      <c r="O96" s="126"/>
      <c r="P96" s="129"/>
      <c r="Q96" s="126"/>
      <c r="R96" s="126"/>
      <c r="S96" s="130"/>
      <c r="T96" s="127">
        <v>1</v>
      </c>
      <c r="U96" s="126"/>
      <c r="V96" s="126"/>
      <c r="W96" s="128"/>
      <c r="X96" s="38" t="s">
        <v>268</v>
      </c>
      <c r="Y96" s="46"/>
    </row>
    <row r="97" spans="1:38" s="47" customFormat="1" x14ac:dyDescent="0.25">
      <c r="A97" s="158" t="s">
        <v>237</v>
      </c>
      <c r="B97" s="161">
        <v>221</v>
      </c>
      <c r="C97" s="144"/>
      <c r="D97" s="144" t="s">
        <v>104</v>
      </c>
      <c r="E97" s="145" t="s">
        <v>46</v>
      </c>
      <c r="F97" s="122" t="s">
        <v>61</v>
      </c>
      <c r="G97" s="275" t="s">
        <v>251</v>
      </c>
      <c r="H97" s="146" t="s">
        <v>300</v>
      </c>
      <c r="I97" s="168" t="s">
        <v>131</v>
      </c>
      <c r="J97" s="125"/>
      <c r="K97" s="126"/>
      <c r="L97" s="126"/>
      <c r="M97" s="128"/>
      <c r="N97" s="129"/>
      <c r="O97" s="126"/>
      <c r="P97" s="129">
        <v>1</v>
      </c>
      <c r="Q97" s="126"/>
      <c r="R97" s="126"/>
      <c r="S97" s="130"/>
      <c r="T97" s="127"/>
      <c r="U97" s="126"/>
      <c r="V97" s="126"/>
      <c r="W97" s="128"/>
      <c r="X97" s="38" t="s">
        <v>132</v>
      </c>
    </row>
    <row r="98" spans="1:38" s="47" customFormat="1" x14ac:dyDescent="0.25">
      <c r="A98" s="158" t="s">
        <v>237</v>
      </c>
      <c r="B98" s="161">
        <v>224</v>
      </c>
      <c r="C98" s="144"/>
      <c r="D98" s="144" t="s">
        <v>93</v>
      </c>
      <c r="E98" s="145" t="s">
        <v>31</v>
      </c>
      <c r="F98" s="122" t="s">
        <v>173</v>
      </c>
      <c r="G98" s="275" t="s">
        <v>69</v>
      </c>
      <c r="H98" s="146" t="s">
        <v>264</v>
      </c>
      <c r="I98" s="168" t="s">
        <v>50</v>
      </c>
      <c r="J98" s="125"/>
      <c r="K98" s="126"/>
      <c r="L98" s="126"/>
      <c r="M98" s="128"/>
      <c r="N98" s="129"/>
      <c r="O98" s="126"/>
      <c r="P98" s="129"/>
      <c r="Q98" s="126"/>
      <c r="R98" s="126"/>
      <c r="S98" s="130"/>
      <c r="T98" s="127">
        <v>1</v>
      </c>
      <c r="U98" s="126"/>
      <c r="V98" s="126"/>
      <c r="W98" s="128"/>
      <c r="X98" s="38" t="s">
        <v>301</v>
      </c>
      <c r="Y98" s="1"/>
    </row>
    <row r="99" spans="1:38" s="47" customFormat="1" x14ac:dyDescent="0.25">
      <c r="A99" s="158" t="s">
        <v>237</v>
      </c>
      <c r="B99" s="161">
        <v>242</v>
      </c>
      <c r="C99" s="144"/>
      <c r="D99" s="144" t="s">
        <v>100</v>
      </c>
      <c r="E99" s="145" t="s">
        <v>26</v>
      </c>
      <c r="F99" s="122" t="s">
        <v>189</v>
      </c>
      <c r="G99" s="275" t="s">
        <v>251</v>
      </c>
      <c r="H99" s="146" t="s">
        <v>302</v>
      </c>
      <c r="I99" s="168" t="s">
        <v>131</v>
      </c>
      <c r="J99" s="125"/>
      <c r="K99" s="126"/>
      <c r="L99" s="126"/>
      <c r="M99" s="128"/>
      <c r="N99" s="129"/>
      <c r="O99" s="126"/>
      <c r="P99" s="129">
        <v>1</v>
      </c>
      <c r="Q99" s="126"/>
      <c r="R99" s="126"/>
      <c r="S99" s="130"/>
      <c r="T99" s="127"/>
      <c r="U99" s="126"/>
      <c r="V99" s="126"/>
      <c r="W99" s="128"/>
      <c r="X99" s="38" t="s">
        <v>303</v>
      </c>
    </row>
    <row r="100" spans="1:38" s="47" customFormat="1" x14ac:dyDescent="0.25">
      <c r="A100" s="158" t="s">
        <v>237</v>
      </c>
      <c r="B100" s="161">
        <v>243</v>
      </c>
      <c r="C100" s="144"/>
      <c r="D100" s="144" t="s">
        <v>202</v>
      </c>
      <c r="E100" s="145" t="s">
        <v>84</v>
      </c>
      <c r="F100" s="122" t="s">
        <v>304</v>
      </c>
      <c r="G100" s="162" t="s">
        <v>69</v>
      </c>
      <c r="H100" s="163" t="s">
        <v>254</v>
      </c>
      <c r="I100" s="168" t="s">
        <v>35</v>
      </c>
      <c r="J100" s="127"/>
      <c r="K100" s="126"/>
      <c r="L100" s="126"/>
      <c r="M100" s="128"/>
      <c r="N100" s="129"/>
      <c r="O100" s="126"/>
      <c r="P100" s="129"/>
      <c r="Q100" s="126"/>
      <c r="R100" s="126">
        <v>1</v>
      </c>
      <c r="S100" s="130"/>
      <c r="T100" s="127"/>
      <c r="U100" s="126"/>
      <c r="V100" s="126"/>
      <c r="W100" s="128"/>
      <c r="X100" s="38" t="s">
        <v>305</v>
      </c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L100" s="1"/>
    </row>
    <row r="101" spans="1:38" s="47" customFormat="1" x14ac:dyDescent="0.25">
      <c r="A101" s="158" t="s">
        <v>237</v>
      </c>
      <c r="B101" s="161">
        <v>246</v>
      </c>
      <c r="C101" s="134"/>
      <c r="D101" s="134" t="s">
        <v>202</v>
      </c>
      <c r="E101" s="145" t="s">
        <v>84</v>
      </c>
      <c r="F101" s="122" t="s">
        <v>250</v>
      </c>
      <c r="G101" s="162" t="s">
        <v>69</v>
      </c>
      <c r="H101" s="146" t="s">
        <v>264</v>
      </c>
      <c r="I101" s="276" t="s">
        <v>50</v>
      </c>
      <c r="J101" s="74"/>
      <c r="K101" s="75"/>
      <c r="L101" s="75"/>
      <c r="M101" s="141"/>
      <c r="N101" s="139"/>
      <c r="O101" s="75"/>
      <c r="P101" s="139">
        <v>1</v>
      </c>
      <c r="Q101" s="75"/>
      <c r="R101" s="75"/>
      <c r="S101" s="141"/>
      <c r="T101" s="139"/>
      <c r="U101" s="75"/>
      <c r="V101" s="75"/>
      <c r="W101" s="141"/>
      <c r="X101" s="170" t="s">
        <v>306</v>
      </c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1"/>
      <c r="AL101" s="46"/>
    </row>
    <row r="102" spans="1:38" s="47" customFormat="1" x14ac:dyDescent="0.25">
      <c r="A102" s="158" t="s">
        <v>237</v>
      </c>
      <c r="B102" s="165">
        <v>261</v>
      </c>
      <c r="C102" s="144"/>
      <c r="D102" s="144" t="s">
        <v>307</v>
      </c>
      <c r="E102" s="145" t="s">
        <v>78</v>
      </c>
      <c r="F102" s="122" t="s">
        <v>308</v>
      </c>
      <c r="G102" s="275" t="s">
        <v>33</v>
      </c>
      <c r="H102" s="146" t="s">
        <v>309</v>
      </c>
      <c r="I102" s="300" t="s">
        <v>50</v>
      </c>
      <c r="J102" s="127"/>
      <c r="K102" s="126"/>
      <c r="L102" s="126"/>
      <c r="M102" s="128"/>
      <c r="N102" s="129"/>
      <c r="O102" s="126"/>
      <c r="P102" s="129"/>
      <c r="Q102" s="126"/>
      <c r="R102" s="126"/>
      <c r="S102" s="130"/>
      <c r="T102" s="127">
        <v>1</v>
      </c>
      <c r="U102" s="126">
        <v>1</v>
      </c>
      <c r="V102" s="126"/>
      <c r="W102" s="128"/>
      <c r="X102" s="38" t="s">
        <v>310</v>
      </c>
    </row>
    <row r="103" spans="1:38" s="47" customFormat="1" x14ac:dyDescent="0.25">
      <c r="A103" s="158" t="s">
        <v>237</v>
      </c>
      <c r="B103" s="251">
        <v>287</v>
      </c>
      <c r="C103" s="144"/>
      <c r="D103" s="144" t="s">
        <v>133</v>
      </c>
      <c r="E103" s="145" t="s">
        <v>46</v>
      </c>
      <c r="F103" s="122" t="s">
        <v>311</v>
      </c>
      <c r="G103" s="275" t="s">
        <v>251</v>
      </c>
      <c r="H103" s="146" t="s">
        <v>221</v>
      </c>
      <c r="I103" s="278" t="s">
        <v>131</v>
      </c>
      <c r="J103" s="127"/>
      <c r="K103" s="126"/>
      <c r="L103" s="126"/>
      <c r="M103" s="128"/>
      <c r="N103" s="129"/>
      <c r="O103" s="126"/>
      <c r="P103" s="129">
        <v>1</v>
      </c>
      <c r="Q103" s="126"/>
      <c r="R103" s="126"/>
      <c r="S103" s="130"/>
      <c r="T103" s="127"/>
      <c r="U103" s="126"/>
      <c r="V103" s="126"/>
      <c r="W103" s="128"/>
      <c r="X103" s="38" t="s">
        <v>132</v>
      </c>
      <c r="Y103" s="1"/>
    </row>
    <row r="104" spans="1:38" s="47" customFormat="1" x14ac:dyDescent="0.25">
      <c r="A104" s="158" t="s">
        <v>237</v>
      </c>
      <c r="B104" s="161">
        <v>290</v>
      </c>
      <c r="C104" s="134"/>
      <c r="D104" s="134" t="s">
        <v>154</v>
      </c>
      <c r="E104" s="145" t="s">
        <v>78</v>
      </c>
      <c r="F104" s="122" t="s">
        <v>312</v>
      </c>
      <c r="G104" s="162" t="s">
        <v>69</v>
      </c>
      <c r="H104" s="146" t="s">
        <v>264</v>
      </c>
      <c r="I104" s="276" t="s">
        <v>50</v>
      </c>
      <c r="J104" s="74"/>
      <c r="K104" s="75"/>
      <c r="L104" s="75"/>
      <c r="M104" s="141"/>
      <c r="N104" s="139"/>
      <c r="O104" s="75"/>
      <c r="P104" s="139"/>
      <c r="Q104" s="75"/>
      <c r="R104" s="75"/>
      <c r="S104" s="141"/>
      <c r="T104" s="139">
        <v>1</v>
      </c>
      <c r="U104" s="75"/>
      <c r="V104" s="75"/>
      <c r="W104" s="141"/>
      <c r="X104" s="170" t="s">
        <v>313</v>
      </c>
      <c r="Y104" s="46"/>
    </row>
    <row r="105" spans="1:38" s="47" customFormat="1" x14ac:dyDescent="0.25">
      <c r="A105" s="158" t="s">
        <v>237</v>
      </c>
      <c r="B105" s="161">
        <v>295</v>
      </c>
      <c r="C105" s="144"/>
      <c r="D105" s="144" t="s">
        <v>133</v>
      </c>
      <c r="E105" s="145" t="s">
        <v>46</v>
      </c>
      <c r="F105" s="122" t="s">
        <v>314</v>
      </c>
      <c r="G105" s="162" t="s">
        <v>251</v>
      </c>
      <c r="H105" s="163" t="s">
        <v>221</v>
      </c>
      <c r="I105" s="168" t="s">
        <v>91</v>
      </c>
      <c r="J105" s="125"/>
      <c r="K105" s="126"/>
      <c r="L105" s="126"/>
      <c r="M105" s="128"/>
      <c r="N105" s="129"/>
      <c r="O105" s="126"/>
      <c r="P105" s="129"/>
      <c r="Q105" s="126"/>
      <c r="R105" s="126"/>
      <c r="S105" s="130"/>
      <c r="T105" s="127">
        <v>1</v>
      </c>
      <c r="U105" s="126"/>
      <c r="V105" s="126"/>
      <c r="W105" s="128"/>
      <c r="X105" s="38" t="s">
        <v>315</v>
      </c>
    </row>
    <row r="106" spans="1:38" s="47" customFormat="1" x14ac:dyDescent="0.25">
      <c r="A106" s="158" t="s">
        <v>237</v>
      </c>
      <c r="B106" s="161">
        <v>296</v>
      </c>
      <c r="C106" s="144"/>
      <c r="D106" s="144" t="s">
        <v>133</v>
      </c>
      <c r="E106" s="145" t="s">
        <v>46</v>
      </c>
      <c r="F106" s="122" t="s">
        <v>129</v>
      </c>
      <c r="G106" s="162" t="s">
        <v>69</v>
      </c>
      <c r="H106" s="163" t="s">
        <v>264</v>
      </c>
      <c r="I106" s="168" t="s">
        <v>50</v>
      </c>
      <c r="J106" s="125"/>
      <c r="K106" s="126"/>
      <c r="L106" s="126"/>
      <c r="M106" s="128"/>
      <c r="N106" s="129"/>
      <c r="O106" s="126"/>
      <c r="P106" s="129"/>
      <c r="Q106" s="126"/>
      <c r="R106" s="126"/>
      <c r="S106" s="130"/>
      <c r="T106" s="127">
        <v>1</v>
      </c>
      <c r="U106" s="126"/>
      <c r="V106" s="126"/>
      <c r="W106" s="128"/>
      <c r="X106" s="38" t="s">
        <v>92</v>
      </c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s="47" customFormat="1" x14ac:dyDescent="0.25">
      <c r="A107" s="158" t="s">
        <v>288</v>
      </c>
      <c r="B107" s="161">
        <v>4</v>
      </c>
      <c r="C107" s="301"/>
      <c r="D107" s="301" t="s">
        <v>188</v>
      </c>
      <c r="E107" s="274" t="s">
        <v>84</v>
      </c>
      <c r="F107" s="288" t="s">
        <v>316</v>
      </c>
      <c r="G107" s="289" t="s">
        <v>69</v>
      </c>
      <c r="H107" s="297" t="s">
        <v>288</v>
      </c>
      <c r="I107" s="238" t="s">
        <v>140</v>
      </c>
      <c r="J107" s="298"/>
      <c r="K107" s="126"/>
      <c r="L107" s="292"/>
      <c r="M107" s="296"/>
      <c r="N107" s="294"/>
      <c r="O107" s="295"/>
      <c r="P107" s="294"/>
      <c r="Q107" s="295"/>
      <c r="R107" s="295"/>
      <c r="S107" s="296"/>
      <c r="T107" s="294"/>
      <c r="U107" s="295">
        <v>1</v>
      </c>
      <c r="V107" s="295"/>
      <c r="W107" s="296"/>
      <c r="X107" s="107" t="s">
        <v>150</v>
      </c>
    </row>
    <row r="108" spans="1:38" s="47" customFormat="1" x14ac:dyDescent="0.25">
      <c r="A108" s="158" t="s">
        <v>288</v>
      </c>
      <c r="B108" s="161">
        <v>6</v>
      </c>
      <c r="C108" s="144"/>
      <c r="D108" s="144" t="s">
        <v>77</v>
      </c>
      <c r="E108" s="145" t="s">
        <v>78</v>
      </c>
      <c r="F108" s="122" t="s">
        <v>118</v>
      </c>
      <c r="G108" s="275" t="s">
        <v>69</v>
      </c>
      <c r="H108" s="146" t="s">
        <v>288</v>
      </c>
      <c r="I108" s="300" t="s">
        <v>50</v>
      </c>
      <c r="J108" s="127"/>
      <c r="K108" s="126"/>
      <c r="L108" s="126"/>
      <c r="M108" s="128"/>
      <c r="N108" s="129"/>
      <c r="O108" s="126"/>
      <c r="P108" s="129"/>
      <c r="Q108" s="126">
        <v>1</v>
      </c>
      <c r="R108" s="126"/>
      <c r="S108" s="130"/>
      <c r="T108" s="127"/>
      <c r="U108" s="126">
        <v>6</v>
      </c>
      <c r="V108" s="126"/>
      <c r="W108" s="128"/>
      <c r="X108" s="38" t="s">
        <v>317</v>
      </c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</row>
    <row r="109" spans="1:38" s="47" customFormat="1" x14ac:dyDescent="0.25">
      <c r="A109" s="158" t="s">
        <v>288</v>
      </c>
      <c r="B109" s="161">
        <v>7</v>
      </c>
      <c r="C109" s="144"/>
      <c r="D109" s="144" t="s">
        <v>30</v>
      </c>
      <c r="E109" s="145" t="s">
        <v>31</v>
      </c>
      <c r="F109" s="122" t="s">
        <v>101</v>
      </c>
      <c r="G109" s="275" t="s">
        <v>69</v>
      </c>
      <c r="H109" s="146" t="s">
        <v>318</v>
      </c>
      <c r="I109" s="300" t="s">
        <v>140</v>
      </c>
      <c r="J109" s="127"/>
      <c r="K109" s="126"/>
      <c r="L109" s="126"/>
      <c r="M109" s="128"/>
      <c r="N109" s="129"/>
      <c r="O109" s="126"/>
      <c r="P109" s="129"/>
      <c r="Q109" s="126"/>
      <c r="R109" s="126"/>
      <c r="S109" s="130"/>
      <c r="T109" s="127">
        <v>1</v>
      </c>
      <c r="U109" s="126">
        <v>1</v>
      </c>
      <c r="V109" s="126"/>
      <c r="W109" s="128"/>
      <c r="X109" s="38" t="s">
        <v>132</v>
      </c>
    </row>
    <row r="110" spans="1:38" s="47" customFormat="1" x14ac:dyDescent="0.25">
      <c r="A110" s="158" t="s">
        <v>288</v>
      </c>
      <c r="B110" s="161">
        <v>18</v>
      </c>
      <c r="C110" s="134"/>
      <c r="D110" s="134" t="s">
        <v>104</v>
      </c>
      <c r="E110" s="145" t="s">
        <v>46</v>
      </c>
      <c r="F110" s="122" t="s">
        <v>319</v>
      </c>
      <c r="G110" s="162" t="s">
        <v>69</v>
      </c>
      <c r="H110" s="146" t="s">
        <v>320</v>
      </c>
      <c r="I110" s="276" t="s">
        <v>91</v>
      </c>
      <c r="J110" s="74"/>
      <c r="K110" s="75"/>
      <c r="L110" s="75"/>
      <c r="M110" s="141"/>
      <c r="N110" s="139"/>
      <c r="O110" s="75"/>
      <c r="P110" s="139"/>
      <c r="Q110" s="75"/>
      <c r="R110" s="75"/>
      <c r="S110" s="141"/>
      <c r="T110" s="139">
        <v>1</v>
      </c>
      <c r="U110" s="75"/>
      <c r="V110" s="75"/>
      <c r="W110" s="141"/>
      <c r="X110" s="170" t="s">
        <v>321</v>
      </c>
    </row>
    <row r="111" spans="1:38" s="47" customFormat="1" x14ac:dyDescent="0.25">
      <c r="A111" s="92" t="s">
        <v>322</v>
      </c>
      <c r="B111" s="33">
        <v>11</v>
      </c>
      <c r="C111" s="186"/>
      <c r="D111" s="186" t="s">
        <v>87</v>
      </c>
      <c r="E111" s="121" t="s">
        <v>31</v>
      </c>
      <c r="F111" s="122" t="s">
        <v>265</v>
      </c>
      <c r="G111" s="123" t="s">
        <v>33</v>
      </c>
      <c r="H111" s="131" t="s">
        <v>323</v>
      </c>
      <c r="I111" s="302" t="s">
        <v>324</v>
      </c>
      <c r="J111" s="74"/>
      <c r="K111" s="75"/>
      <c r="L111" s="75"/>
      <c r="M111" s="141"/>
      <c r="N111" s="139"/>
      <c r="O111" s="75"/>
      <c r="P111" s="139">
        <v>1</v>
      </c>
      <c r="Q111" s="75">
        <v>2</v>
      </c>
      <c r="R111" s="75"/>
      <c r="S111" s="141"/>
      <c r="T111" s="139"/>
      <c r="U111" s="75"/>
      <c r="V111" s="75"/>
      <c r="W111" s="141"/>
      <c r="X111" s="303" t="s">
        <v>213</v>
      </c>
    </row>
    <row r="112" spans="1:38" s="47" customFormat="1" x14ac:dyDescent="0.25">
      <c r="A112" s="158" t="s">
        <v>325</v>
      </c>
      <c r="B112" s="31">
        <v>1</v>
      </c>
      <c r="C112" s="304"/>
      <c r="D112" s="304" t="s">
        <v>246</v>
      </c>
      <c r="E112" s="150" t="s">
        <v>26</v>
      </c>
      <c r="F112" s="159" t="s">
        <v>326</v>
      </c>
      <c r="G112" s="52" t="s">
        <v>327</v>
      </c>
      <c r="H112" s="37" t="s">
        <v>328</v>
      </c>
      <c r="I112" s="272" t="s">
        <v>146</v>
      </c>
      <c r="J112" s="305"/>
      <c r="K112" s="306"/>
      <c r="L112" s="306"/>
      <c r="M112" s="307"/>
      <c r="N112" s="308"/>
      <c r="O112" s="306"/>
      <c r="P112" s="308">
        <v>1</v>
      </c>
      <c r="Q112" s="306">
        <v>1</v>
      </c>
      <c r="R112" s="306"/>
      <c r="S112" s="307"/>
      <c r="T112" s="308"/>
      <c r="U112" s="306"/>
      <c r="V112" s="306"/>
      <c r="W112" s="307"/>
      <c r="X112" s="309" t="s">
        <v>171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46"/>
    </row>
    <row r="113" spans="1:38" s="47" customFormat="1" x14ac:dyDescent="0.25">
      <c r="A113" s="158" t="s">
        <v>325</v>
      </c>
      <c r="B113" s="31">
        <v>2</v>
      </c>
      <c r="C113" s="304"/>
      <c r="D113" s="304" t="s">
        <v>246</v>
      </c>
      <c r="E113" s="150" t="s">
        <v>26</v>
      </c>
      <c r="F113" s="159" t="s">
        <v>329</v>
      </c>
      <c r="G113" s="52" t="s">
        <v>327</v>
      </c>
      <c r="H113" s="37" t="s">
        <v>330</v>
      </c>
      <c r="I113" s="310" t="s">
        <v>35</v>
      </c>
      <c r="J113" s="311"/>
      <c r="K113" s="306"/>
      <c r="L113" s="306"/>
      <c r="M113" s="307"/>
      <c r="N113" s="308"/>
      <c r="O113" s="306"/>
      <c r="P113" s="308"/>
      <c r="Q113" s="306"/>
      <c r="R113" s="306"/>
      <c r="S113" s="307"/>
      <c r="T113" s="308"/>
      <c r="U113" s="306"/>
      <c r="V113" s="306">
        <v>1</v>
      </c>
      <c r="W113" s="307"/>
      <c r="X113" s="309" t="s">
        <v>43</v>
      </c>
      <c r="Y113" s="46"/>
    </row>
    <row r="114" spans="1:38" s="47" customFormat="1" x14ac:dyDescent="0.25">
      <c r="A114" s="76" t="s">
        <v>325</v>
      </c>
      <c r="B114" s="249">
        <v>11</v>
      </c>
      <c r="C114" s="312"/>
      <c r="D114" s="312" t="s">
        <v>87</v>
      </c>
      <c r="E114" s="313" t="s">
        <v>31</v>
      </c>
      <c r="F114" s="159" t="s">
        <v>169</v>
      </c>
      <c r="G114" s="314" t="s">
        <v>331</v>
      </c>
      <c r="H114" s="37" t="s">
        <v>332</v>
      </c>
      <c r="I114" s="302" t="s">
        <v>209</v>
      </c>
      <c r="J114" s="311"/>
      <c r="K114" s="306"/>
      <c r="L114" s="306"/>
      <c r="M114" s="307"/>
      <c r="N114" s="308"/>
      <c r="O114" s="306"/>
      <c r="P114" s="308"/>
      <c r="Q114" s="306">
        <v>4</v>
      </c>
      <c r="R114" s="306"/>
      <c r="S114" s="307"/>
      <c r="T114" s="308"/>
      <c r="U114" s="306"/>
      <c r="V114" s="306"/>
      <c r="W114" s="307"/>
      <c r="X114" s="309" t="s">
        <v>150</v>
      </c>
      <c r="AL114" s="1"/>
    </row>
    <row r="115" spans="1:38" s="47" customFormat="1" x14ac:dyDescent="0.25">
      <c r="A115" s="30" t="s">
        <v>325</v>
      </c>
      <c r="B115" s="31">
        <v>15</v>
      </c>
      <c r="C115" s="120"/>
      <c r="D115" s="120" t="s">
        <v>202</v>
      </c>
      <c r="E115" s="34" t="s">
        <v>84</v>
      </c>
      <c r="F115" s="35" t="s">
        <v>333</v>
      </c>
      <c r="G115" s="52" t="s">
        <v>327</v>
      </c>
      <c r="H115" s="160" t="s">
        <v>334</v>
      </c>
      <c r="I115" s="280" t="s">
        <v>131</v>
      </c>
      <c r="J115" s="308"/>
      <c r="K115" s="306"/>
      <c r="L115" s="306"/>
      <c r="M115" s="315"/>
      <c r="N115" s="316"/>
      <c r="O115" s="306"/>
      <c r="P115" s="316"/>
      <c r="Q115" s="306">
        <v>3</v>
      </c>
      <c r="R115" s="306"/>
      <c r="S115" s="307"/>
      <c r="T115" s="308">
        <v>1</v>
      </c>
      <c r="U115" s="306"/>
      <c r="V115" s="306"/>
      <c r="W115" s="315"/>
      <c r="X115" s="317" t="s">
        <v>141</v>
      </c>
    </row>
    <row r="116" spans="1:38" s="47" customFormat="1" x14ac:dyDescent="0.25">
      <c r="A116" s="30" t="s">
        <v>325</v>
      </c>
      <c r="B116" s="161">
        <v>16</v>
      </c>
      <c r="C116" s="134"/>
      <c r="D116" s="134" t="s">
        <v>154</v>
      </c>
      <c r="E116" s="145" t="s">
        <v>78</v>
      </c>
      <c r="F116" s="122" t="s">
        <v>61</v>
      </c>
      <c r="G116" s="162" t="s">
        <v>327</v>
      </c>
      <c r="H116" s="318" t="s">
        <v>131</v>
      </c>
      <c r="I116" s="280" t="s">
        <v>35</v>
      </c>
      <c r="J116" s="139"/>
      <c r="K116" s="75"/>
      <c r="L116" s="75"/>
      <c r="M116" s="140"/>
      <c r="N116" s="74"/>
      <c r="O116" s="75"/>
      <c r="P116" s="74"/>
      <c r="Q116" s="75"/>
      <c r="R116" s="75"/>
      <c r="S116" s="141"/>
      <c r="T116" s="139"/>
      <c r="U116" s="75"/>
      <c r="V116" s="75">
        <v>1</v>
      </c>
      <c r="W116" s="140"/>
      <c r="X116" s="170" t="s">
        <v>103</v>
      </c>
      <c r="Y116" s="1"/>
    </row>
    <row r="117" spans="1:38" s="47" customFormat="1" x14ac:dyDescent="0.25">
      <c r="A117" s="30" t="s">
        <v>325</v>
      </c>
      <c r="B117" s="161">
        <v>18</v>
      </c>
      <c r="C117" s="319" t="s">
        <v>335</v>
      </c>
      <c r="D117" s="144" t="s">
        <v>133</v>
      </c>
      <c r="E117" s="145" t="s">
        <v>46</v>
      </c>
      <c r="F117" s="122" t="s">
        <v>40</v>
      </c>
      <c r="G117" s="162" t="s">
        <v>331</v>
      </c>
      <c r="H117" s="45" t="s">
        <v>336</v>
      </c>
      <c r="I117" s="276" t="s">
        <v>131</v>
      </c>
      <c r="J117" s="74"/>
      <c r="K117" s="75">
        <v>1</v>
      </c>
      <c r="L117" s="75"/>
      <c r="M117" s="141"/>
      <c r="N117" s="139"/>
      <c r="O117" s="75">
        <v>1</v>
      </c>
      <c r="P117" s="139"/>
      <c r="Q117" s="75">
        <v>1</v>
      </c>
      <c r="R117" s="75"/>
      <c r="S117" s="141"/>
      <c r="T117" s="139"/>
      <c r="U117" s="75"/>
      <c r="V117" s="75"/>
      <c r="W117" s="141"/>
      <c r="X117" s="170" t="s">
        <v>132</v>
      </c>
      <c r="Y117" s="1"/>
    </row>
    <row r="118" spans="1:38" s="47" customFormat="1" x14ac:dyDescent="0.25">
      <c r="A118" s="158" t="s">
        <v>325</v>
      </c>
      <c r="B118" s="320" t="s">
        <v>337</v>
      </c>
      <c r="C118" s="320"/>
      <c r="D118" s="320" t="s">
        <v>116</v>
      </c>
      <c r="E118" s="320" t="s">
        <v>117</v>
      </c>
      <c r="F118" s="320" t="s">
        <v>338</v>
      </c>
      <c r="G118" s="321" t="s">
        <v>33</v>
      </c>
      <c r="H118" s="37" t="s">
        <v>339</v>
      </c>
      <c r="I118" s="322" t="s">
        <v>131</v>
      </c>
      <c r="J118" s="323"/>
      <c r="K118" s="324"/>
      <c r="L118" s="324"/>
      <c r="M118" s="325"/>
      <c r="N118" s="326"/>
      <c r="O118" s="324"/>
      <c r="P118" s="326"/>
      <c r="Q118" s="324"/>
      <c r="R118" s="324"/>
      <c r="S118" s="325"/>
      <c r="T118" s="327"/>
      <c r="U118" s="75">
        <v>2</v>
      </c>
      <c r="V118" s="328"/>
      <c r="W118" s="329"/>
      <c r="X118" s="330" t="s">
        <v>340</v>
      </c>
      <c r="Y118" s="1"/>
    </row>
    <row r="119" spans="1:38" s="47" customFormat="1" x14ac:dyDescent="0.25">
      <c r="A119" s="198" t="s">
        <v>341</v>
      </c>
      <c r="B119" s="331">
        <v>14</v>
      </c>
      <c r="C119" s="120"/>
      <c r="D119" s="120" t="s">
        <v>342</v>
      </c>
      <c r="E119" s="207" t="s">
        <v>39</v>
      </c>
      <c r="F119" s="332" t="s">
        <v>129</v>
      </c>
      <c r="G119" s="333" t="s">
        <v>144</v>
      </c>
      <c r="H119" s="334" t="s">
        <v>343</v>
      </c>
      <c r="I119" s="107" t="s">
        <v>35</v>
      </c>
      <c r="J119" s="335"/>
      <c r="K119" s="72"/>
      <c r="L119" s="336"/>
      <c r="M119" s="337"/>
      <c r="N119" s="338"/>
      <c r="O119" s="339"/>
      <c r="P119" s="338"/>
      <c r="Q119" s="339"/>
      <c r="R119" s="339"/>
      <c r="S119" s="337"/>
      <c r="T119" s="338"/>
      <c r="U119" s="339"/>
      <c r="V119" s="339">
        <v>1</v>
      </c>
      <c r="W119" s="337"/>
      <c r="X119" s="340" t="s">
        <v>113</v>
      </c>
      <c r="Y119" s="1"/>
    </row>
    <row r="120" spans="1:38" s="47" customFormat="1" x14ac:dyDescent="0.25">
      <c r="A120" s="198" t="s">
        <v>341</v>
      </c>
      <c r="B120" s="199">
        <v>17</v>
      </c>
      <c r="C120" s="120"/>
      <c r="D120" s="120" t="s">
        <v>77</v>
      </c>
      <c r="E120" s="207" t="s">
        <v>78</v>
      </c>
      <c r="F120" s="200" t="s">
        <v>129</v>
      </c>
      <c r="G120" s="341" t="s">
        <v>144</v>
      </c>
      <c r="H120" s="342" t="s">
        <v>344</v>
      </c>
      <c r="I120" s="38" t="s">
        <v>35</v>
      </c>
      <c r="J120" s="343"/>
      <c r="K120" s="72"/>
      <c r="L120" s="203"/>
      <c r="M120" s="205"/>
      <c r="N120" s="71"/>
      <c r="O120" s="72"/>
      <c r="P120" s="71"/>
      <c r="Q120" s="72"/>
      <c r="R120" s="72"/>
      <c r="S120" s="205"/>
      <c r="T120" s="71"/>
      <c r="U120" s="72"/>
      <c r="V120" s="72">
        <v>1</v>
      </c>
      <c r="W120" s="205"/>
      <c r="X120" s="206" t="s">
        <v>43</v>
      </c>
      <c r="Y120" s="1"/>
    </row>
    <row r="121" spans="1:38" s="47" customFormat="1" x14ac:dyDescent="0.25">
      <c r="A121" s="30" t="s">
        <v>341</v>
      </c>
      <c r="B121" s="109">
        <v>38</v>
      </c>
      <c r="C121" s="67" t="s">
        <v>59</v>
      </c>
      <c r="D121" s="120" t="s">
        <v>93</v>
      </c>
      <c r="E121" s="34" t="s">
        <v>31</v>
      </c>
      <c r="F121" s="112" t="s">
        <v>173</v>
      </c>
      <c r="G121" s="113" t="s">
        <v>345</v>
      </c>
      <c r="H121" s="344" t="s">
        <v>346</v>
      </c>
      <c r="I121" s="238" t="s">
        <v>50</v>
      </c>
      <c r="J121" s="345">
        <v>1</v>
      </c>
      <c r="K121" s="40"/>
      <c r="L121" s="86"/>
      <c r="M121" s="90"/>
      <c r="N121" s="88">
        <v>1</v>
      </c>
      <c r="O121" s="89"/>
      <c r="P121" s="88"/>
      <c r="Q121" s="89"/>
      <c r="R121" s="89"/>
      <c r="S121" s="90"/>
      <c r="T121" s="88"/>
      <c r="U121" s="89"/>
      <c r="V121" s="89"/>
      <c r="W121" s="90"/>
      <c r="X121" s="117" t="s">
        <v>347</v>
      </c>
      <c r="Y121" s="46"/>
    </row>
    <row r="122" spans="1:38" s="47" customFormat="1" x14ac:dyDescent="0.25">
      <c r="A122" s="92" t="s">
        <v>341</v>
      </c>
      <c r="B122" s="346">
        <v>45</v>
      </c>
      <c r="C122" s="144"/>
      <c r="D122" s="144" t="s">
        <v>154</v>
      </c>
      <c r="E122" s="145" t="s">
        <v>78</v>
      </c>
      <c r="F122" s="288" t="s">
        <v>348</v>
      </c>
      <c r="G122" s="347" t="s">
        <v>345</v>
      </c>
      <c r="H122" s="348" t="s">
        <v>349</v>
      </c>
      <c r="I122" s="348" t="s">
        <v>35</v>
      </c>
      <c r="J122" s="298"/>
      <c r="K122" s="126"/>
      <c r="L122" s="292"/>
      <c r="M122" s="296"/>
      <c r="N122" s="294"/>
      <c r="O122" s="295"/>
      <c r="P122" s="294"/>
      <c r="Q122" s="295"/>
      <c r="R122" s="295"/>
      <c r="S122" s="296"/>
      <c r="T122" s="294"/>
      <c r="U122" s="295"/>
      <c r="V122" s="295">
        <v>1</v>
      </c>
      <c r="W122" s="296"/>
      <c r="X122" s="348" t="s">
        <v>107</v>
      </c>
    </row>
    <row r="123" spans="1:38" s="47" customFormat="1" x14ac:dyDescent="0.25">
      <c r="A123" s="92" t="s">
        <v>341</v>
      </c>
      <c r="B123" s="121">
        <v>46</v>
      </c>
      <c r="C123" s="144"/>
      <c r="D123" s="144" t="s">
        <v>133</v>
      </c>
      <c r="E123" s="145" t="s">
        <v>46</v>
      </c>
      <c r="F123" s="122" t="s">
        <v>350</v>
      </c>
      <c r="G123" s="275" t="s">
        <v>351</v>
      </c>
      <c r="H123" s="131" t="s">
        <v>352</v>
      </c>
      <c r="I123" s="131" t="s">
        <v>35</v>
      </c>
      <c r="J123" s="125"/>
      <c r="K123" s="126"/>
      <c r="L123" s="126"/>
      <c r="M123" s="128"/>
      <c r="N123" s="129"/>
      <c r="O123" s="126"/>
      <c r="P123" s="129"/>
      <c r="Q123" s="126"/>
      <c r="R123" s="126"/>
      <c r="S123" s="130"/>
      <c r="T123" s="127"/>
      <c r="U123" s="126"/>
      <c r="V123" s="126">
        <v>1</v>
      </c>
      <c r="W123" s="128"/>
      <c r="X123" s="131" t="s">
        <v>36</v>
      </c>
      <c r="Y123" s="1"/>
    </row>
    <row r="124" spans="1:38" s="47" customFormat="1" x14ac:dyDescent="0.25">
      <c r="A124" s="92" t="s">
        <v>341</v>
      </c>
      <c r="B124" s="161">
        <v>49</v>
      </c>
      <c r="C124" s="33"/>
      <c r="D124" s="33" t="s">
        <v>136</v>
      </c>
      <c r="E124" s="34" t="s">
        <v>31</v>
      </c>
      <c r="F124" s="122" t="s">
        <v>219</v>
      </c>
      <c r="G124" s="275" t="s">
        <v>351</v>
      </c>
      <c r="H124" s="45" t="s">
        <v>353</v>
      </c>
      <c r="I124" s="168" t="s">
        <v>235</v>
      </c>
      <c r="J124" s="125"/>
      <c r="K124" s="126"/>
      <c r="L124" s="126"/>
      <c r="M124" s="128"/>
      <c r="N124" s="129"/>
      <c r="O124" s="126"/>
      <c r="P124" s="129"/>
      <c r="Q124" s="126"/>
      <c r="R124" s="126"/>
      <c r="S124" s="130"/>
      <c r="T124" s="127"/>
      <c r="U124" s="126">
        <v>1</v>
      </c>
      <c r="V124" s="126"/>
      <c r="W124" s="128"/>
      <c r="X124" s="38" t="s">
        <v>150</v>
      </c>
      <c r="Y124" s="1"/>
    </row>
    <row r="125" spans="1:38" s="47" customFormat="1" x14ac:dyDescent="0.25">
      <c r="A125" s="198" t="s">
        <v>354</v>
      </c>
      <c r="B125" s="199">
        <v>11</v>
      </c>
      <c r="C125" s="120"/>
      <c r="D125" s="120" t="s">
        <v>188</v>
      </c>
      <c r="E125" s="207" t="s">
        <v>84</v>
      </c>
      <c r="F125" s="200" t="s">
        <v>219</v>
      </c>
      <c r="G125" s="349" t="s">
        <v>33</v>
      </c>
      <c r="H125" s="350" t="s">
        <v>355</v>
      </c>
      <c r="I125" s="38" t="s">
        <v>35</v>
      </c>
      <c r="J125" s="202"/>
      <c r="K125" s="72"/>
      <c r="L125" s="72"/>
      <c r="M125" s="204"/>
      <c r="N125" s="71"/>
      <c r="O125" s="72"/>
      <c r="P125" s="71"/>
      <c r="Q125" s="72"/>
      <c r="R125" s="72">
        <v>1</v>
      </c>
      <c r="S125" s="205"/>
      <c r="T125" s="203"/>
      <c r="U125" s="72"/>
      <c r="V125" s="72"/>
      <c r="W125" s="204"/>
      <c r="X125" s="206" t="s">
        <v>36</v>
      </c>
      <c r="Y125" s="46"/>
      <c r="AK125" s="46"/>
    </row>
    <row r="126" spans="1:38" s="47" customFormat="1" x14ac:dyDescent="0.25">
      <c r="A126" s="92" t="s">
        <v>354</v>
      </c>
      <c r="B126" s="262">
        <v>29</v>
      </c>
      <c r="C126" s="144"/>
      <c r="D126" s="144" t="s">
        <v>45</v>
      </c>
      <c r="E126" s="249" t="s">
        <v>46</v>
      </c>
      <c r="F126" s="351" t="s">
        <v>173</v>
      </c>
      <c r="G126" s="352" t="s">
        <v>351</v>
      </c>
      <c r="H126" s="265" t="s">
        <v>356</v>
      </c>
      <c r="I126" s="38" t="s">
        <v>35</v>
      </c>
      <c r="J126" s="353"/>
      <c r="K126" s="268"/>
      <c r="L126" s="268"/>
      <c r="M126" s="354"/>
      <c r="N126" s="355"/>
      <c r="O126" s="268"/>
      <c r="P126" s="355"/>
      <c r="Q126" s="268"/>
      <c r="R126" s="268">
        <v>1</v>
      </c>
      <c r="S126" s="270"/>
      <c r="T126" s="269"/>
      <c r="U126" s="268"/>
      <c r="V126" s="268"/>
      <c r="W126" s="354"/>
      <c r="X126" s="265" t="s">
        <v>107</v>
      </c>
    </row>
    <row r="127" spans="1:38" s="47" customFormat="1" x14ac:dyDescent="0.25">
      <c r="A127" s="198" t="s">
        <v>354</v>
      </c>
      <c r="B127" s="199" t="s">
        <v>357</v>
      </c>
      <c r="C127" s="120"/>
      <c r="D127" s="120" t="s">
        <v>307</v>
      </c>
      <c r="E127" s="207" t="s">
        <v>78</v>
      </c>
      <c r="F127" s="200" t="s">
        <v>358</v>
      </c>
      <c r="G127" s="349" t="s">
        <v>345</v>
      </c>
      <c r="H127" s="350" t="s">
        <v>341</v>
      </c>
      <c r="I127" s="38" t="s">
        <v>35</v>
      </c>
      <c r="J127" s="202"/>
      <c r="K127" s="72"/>
      <c r="L127" s="72"/>
      <c r="M127" s="204"/>
      <c r="N127" s="71"/>
      <c r="O127" s="72"/>
      <c r="P127" s="71"/>
      <c r="Q127" s="72"/>
      <c r="R127" s="72"/>
      <c r="S127" s="205"/>
      <c r="T127" s="203"/>
      <c r="U127" s="72"/>
      <c r="V127" s="72">
        <v>1</v>
      </c>
      <c r="W127" s="204"/>
      <c r="X127" s="206" t="s">
        <v>103</v>
      </c>
    </row>
    <row r="128" spans="1:38" s="47" customFormat="1" x14ac:dyDescent="0.25">
      <c r="A128" s="198" t="s">
        <v>354</v>
      </c>
      <c r="B128" s="199" t="s">
        <v>359</v>
      </c>
      <c r="C128" s="120"/>
      <c r="D128" s="120" t="s">
        <v>74</v>
      </c>
      <c r="E128" s="207" t="s">
        <v>46</v>
      </c>
      <c r="F128" s="200" t="s">
        <v>360</v>
      </c>
      <c r="G128" s="349" t="s">
        <v>351</v>
      </c>
      <c r="H128" s="350" t="s">
        <v>361</v>
      </c>
      <c r="I128" s="38" t="s">
        <v>35</v>
      </c>
      <c r="J128" s="202"/>
      <c r="K128" s="72"/>
      <c r="L128" s="72"/>
      <c r="M128" s="204"/>
      <c r="N128" s="71"/>
      <c r="O128" s="72"/>
      <c r="P128" s="71"/>
      <c r="Q128" s="72"/>
      <c r="R128" s="72"/>
      <c r="S128" s="205"/>
      <c r="T128" s="203"/>
      <c r="U128" s="72"/>
      <c r="V128" s="72">
        <v>1</v>
      </c>
      <c r="W128" s="204"/>
      <c r="X128" s="206" t="s">
        <v>362</v>
      </c>
      <c r="AL128" s="1"/>
    </row>
    <row r="129" spans="1:38" s="47" customFormat="1" x14ac:dyDescent="0.25">
      <c r="A129" s="198" t="s">
        <v>354</v>
      </c>
      <c r="B129" s="199" t="s">
        <v>363</v>
      </c>
      <c r="C129" s="120"/>
      <c r="D129" s="120" t="s">
        <v>185</v>
      </c>
      <c r="E129" s="207" t="s">
        <v>31</v>
      </c>
      <c r="F129" s="200" t="s">
        <v>253</v>
      </c>
      <c r="G129" s="349" t="s">
        <v>345</v>
      </c>
      <c r="H129" s="350" t="s">
        <v>364</v>
      </c>
      <c r="I129" s="84" t="s">
        <v>146</v>
      </c>
      <c r="J129" s="202"/>
      <c r="K129" s="72"/>
      <c r="L129" s="72"/>
      <c r="M129" s="204"/>
      <c r="N129" s="71"/>
      <c r="O129" s="72"/>
      <c r="P129" s="71"/>
      <c r="Q129" s="72"/>
      <c r="R129" s="72"/>
      <c r="S129" s="205"/>
      <c r="T129" s="203"/>
      <c r="U129" s="72">
        <v>2</v>
      </c>
      <c r="V129" s="72"/>
      <c r="W129" s="204"/>
      <c r="X129" s="206" t="s">
        <v>132</v>
      </c>
      <c r="Y129" s="46"/>
    </row>
    <row r="130" spans="1:38" s="47" customFormat="1" x14ac:dyDescent="0.25">
      <c r="A130" s="30" t="s">
        <v>365</v>
      </c>
      <c r="B130" s="121">
        <v>3</v>
      </c>
      <c r="C130" s="120"/>
      <c r="D130" s="120" t="s">
        <v>185</v>
      </c>
      <c r="E130" s="121" t="s">
        <v>31</v>
      </c>
      <c r="F130" s="122" t="s">
        <v>366</v>
      </c>
      <c r="G130" s="356" t="s">
        <v>251</v>
      </c>
      <c r="H130" s="131" t="s">
        <v>367</v>
      </c>
      <c r="I130" s="84" t="s">
        <v>50</v>
      </c>
      <c r="J130" s="125"/>
      <c r="K130" s="126"/>
      <c r="L130" s="126"/>
      <c r="M130" s="128"/>
      <c r="N130" s="129"/>
      <c r="O130" s="126"/>
      <c r="P130" s="129"/>
      <c r="Q130" s="126"/>
      <c r="R130" s="126"/>
      <c r="S130" s="130"/>
      <c r="T130" s="127">
        <v>2</v>
      </c>
      <c r="U130" s="126"/>
      <c r="V130" s="126"/>
      <c r="W130" s="128"/>
      <c r="X130" s="131" t="s">
        <v>92</v>
      </c>
    </row>
    <row r="131" spans="1:38" s="47" customFormat="1" x14ac:dyDescent="0.25">
      <c r="A131" s="30" t="s">
        <v>365</v>
      </c>
      <c r="B131" s="121">
        <v>11</v>
      </c>
      <c r="C131" s="120"/>
      <c r="D131" s="120" t="s">
        <v>188</v>
      </c>
      <c r="E131" s="121" t="s">
        <v>84</v>
      </c>
      <c r="F131" s="357" t="s">
        <v>368</v>
      </c>
      <c r="G131" s="356" t="s">
        <v>33</v>
      </c>
      <c r="H131" s="358" t="s">
        <v>369</v>
      </c>
      <c r="I131" s="38" t="s">
        <v>35</v>
      </c>
      <c r="J131" s="125"/>
      <c r="K131" s="126"/>
      <c r="L131" s="126"/>
      <c r="M131" s="128"/>
      <c r="N131" s="129"/>
      <c r="O131" s="126"/>
      <c r="P131" s="129"/>
      <c r="Q131" s="126"/>
      <c r="R131" s="126">
        <v>1</v>
      </c>
      <c r="S131" s="130"/>
      <c r="T131" s="127"/>
      <c r="U131" s="126"/>
      <c r="V131" s="126"/>
      <c r="W131" s="128"/>
      <c r="X131" s="131" t="s">
        <v>36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L131" s="46"/>
    </row>
    <row r="132" spans="1:38" s="47" customFormat="1" x14ac:dyDescent="0.25">
      <c r="A132" s="30" t="s">
        <v>365</v>
      </c>
      <c r="B132" s="161">
        <v>15</v>
      </c>
      <c r="C132" s="149"/>
      <c r="D132" s="149" t="s">
        <v>342</v>
      </c>
      <c r="E132" s="150" t="s">
        <v>39</v>
      </c>
      <c r="F132" s="248" t="s">
        <v>370</v>
      </c>
      <c r="G132" s="359">
        <v>538</v>
      </c>
      <c r="H132" s="38" t="s">
        <v>371</v>
      </c>
      <c r="I132" s="84" t="s">
        <v>50</v>
      </c>
      <c r="J132" s="153"/>
      <c r="K132" s="101"/>
      <c r="L132" s="157"/>
      <c r="M132" s="154"/>
      <c r="N132" s="155"/>
      <c r="O132" s="101"/>
      <c r="P132" s="155"/>
      <c r="Q132" s="101"/>
      <c r="R132" s="101"/>
      <c r="S132" s="156"/>
      <c r="T132" s="157">
        <v>2</v>
      </c>
      <c r="U132" s="101"/>
      <c r="V132" s="101"/>
      <c r="W132" s="154"/>
      <c r="X132" s="38" t="s">
        <v>278</v>
      </c>
    </row>
    <row r="133" spans="1:38" s="47" customFormat="1" x14ac:dyDescent="0.25">
      <c r="A133" s="30" t="s">
        <v>365</v>
      </c>
      <c r="B133" s="31">
        <v>17</v>
      </c>
      <c r="C133" s="120"/>
      <c r="D133" s="120" t="s">
        <v>342</v>
      </c>
      <c r="E133" s="121" t="s">
        <v>39</v>
      </c>
      <c r="F133" s="35" t="s">
        <v>244</v>
      </c>
      <c r="G133" s="36" t="s">
        <v>251</v>
      </c>
      <c r="H133" s="37" t="s">
        <v>372</v>
      </c>
      <c r="I133" s="38" t="s">
        <v>35</v>
      </c>
      <c r="J133" s="39"/>
      <c r="K133" s="40"/>
      <c r="L133" s="44"/>
      <c r="M133" s="41"/>
      <c r="N133" s="42"/>
      <c r="O133" s="40"/>
      <c r="P133" s="42"/>
      <c r="Q133" s="40"/>
      <c r="R133" s="40"/>
      <c r="S133" s="43"/>
      <c r="T133" s="44"/>
      <c r="U133" s="40"/>
      <c r="V133" s="40">
        <v>1</v>
      </c>
      <c r="W133" s="41"/>
      <c r="X133" s="45" t="s">
        <v>57</v>
      </c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8" s="47" customFormat="1" x14ac:dyDescent="0.25">
      <c r="A134" s="30" t="s">
        <v>365</v>
      </c>
      <c r="B134" s="31">
        <v>20</v>
      </c>
      <c r="C134" s="34"/>
      <c r="D134" s="34" t="s">
        <v>54</v>
      </c>
      <c r="E134" s="249" t="s">
        <v>46</v>
      </c>
      <c r="F134" s="35" t="s">
        <v>373</v>
      </c>
      <c r="G134" s="52" t="s">
        <v>33</v>
      </c>
      <c r="H134" s="160" t="s">
        <v>374</v>
      </c>
      <c r="I134" s="60" t="s">
        <v>146</v>
      </c>
      <c r="J134" s="308"/>
      <c r="K134" s="306"/>
      <c r="L134" s="306"/>
      <c r="M134" s="315"/>
      <c r="N134" s="305"/>
      <c r="O134" s="306"/>
      <c r="P134" s="305">
        <v>1</v>
      </c>
      <c r="Q134" s="306"/>
      <c r="R134" s="360"/>
      <c r="S134" s="307"/>
      <c r="T134" s="308"/>
      <c r="U134" s="306">
        <v>2</v>
      </c>
      <c r="V134" s="306"/>
      <c r="W134" s="315"/>
      <c r="X134" s="317" t="s">
        <v>213</v>
      </c>
    </row>
    <row r="135" spans="1:38" s="47" customFormat="1" x14ac:dyDescent="0.25">
      <c r="A135" s="30" t="s">
        <v>365</v>
      </c>
      <c r="B135" s="31">
        <v>21</v>
      </c>
      <c r="C135" s="33"/>
      <c r="D135" s="33" t="s">
        <v>30</v>
      </c>
      <c r="E135" s="34" t="s">
        <v>31</v>
      </c>
      <c r="F135" s="35" t="s">
        <v>32</v>
      </c>
      <c r="G135" s="52" t="s">
        <v>204</v>
      </c>
      <c r="H135" s="160" t="s">
        <v>371</v>
      </c>
      <c r="I135" s="303" t="s">
        <v>209</v>
      </c>
      <c r="J135" s="308"/>
      <c r="K135" s="306"/>
      <c r="L135" s="306"/>
      <c r="M135" s="315"/>
      <c r="N135" s="305"/>
      <c r="O135" s="306"/>
      <c r="P135" s="305"/>
      <c r="Q135" s="306"/>
      <c r="R135" s="306"/>
      <c r="S135" s="307"/>
      <c r="T135" s="308">
        <v>1</v>
      </c>
      <c r="U135" s="306">
        <v>8</v>
      </c>
      <c r="V135" s="306"/>
      <c r="W135" s="315"/>
      <c r="X135" s="317" t="s">
        <v>340</v>
      </c>
      <c r="Y135" s="1"/>
    </row>
    <row r="136" spans="1:38" s="47" customFormat="1" x14ac:dyDescent="0.25">
      <c r="A136" s="119" t="s">
        <v>365</v>
      </c>
      <c r="B136" s="33">
        <v>34</v>
      </c>
      <c r="C136" s="186"/>
      <c r="D136" s="186" t="s">
        <v>271</v>
      </c>
      <c r="E136" s="121" t="s">
        <v>117</v>
      </c>
      <c r="F136" s="357" t="s">
        <v>169</v>
      </c>
      <c r="G136" s="147" t="s">
        <v>251</v>
      </c>
      <c r="H136" s="124" t="s">
        <v>375</v>
      </c>
      <c r="I136" s="60" t="s">
        <v>146</v>
      </c>
      <c r="J136" s="139"/>
      <c r="K136" s="75"/>
      <c r="L136" s="75"/>
      <c r="M136" s="140"/>
      <c r="N136" s="74"/>
      <c r="O136" s="75"/>
      <c r="P136" s="74"/>
      <c r="Q136" s="75"/>
      <c r="R136" s="75"/>
      <c r="S136" s="141"/>
      <c r="T136" s="139">
        <v>1</v>
      </c>
      <c r="U136" s="75"/>
      <c r="V136" s="75"/>
      <c r="W136" s="140"/>
      <c r="X136" s="303" t="s">
        <v>51</v>
      </c>
    </row>
    <row r="137" spans="1:38" s="47" customFormat="1" x14ac:dyDescent="0.25">
      <c r="A137" s="119" t="s">
        <v>365</v>
      </c>
      <c r="B137" s="161">
        <v>65</v>
      </c>
      <c r="C137" s="361"/>
      <c r="D137" s="361" t="s">
        <v>136</v>
      </c>
      <c r="E137" s="362" t="s">
        <v>31</v>
      </c>
      <c r="F137" s="151" t="s">
        <v>68</v>
      </c>
      <c r="G137" s="247">
        <v>538</v>
      </c>
      <c r="H137" s="152" t="s">
        <v>376</v>
      </c>
      <c r="I137" s="170" t="s">
        <v>50</v>
      </c>
      <c r="J137" s="363"/>
      <c r="K137" s="364"/>
      <c r="L137" s="364"/>
      <c r="M137" s="365"/>
      <c r="N137" s="366"/>
      <c r="O137" s="364"/>
      <c r="P137" s="366">
        <v>1</v>
      </c>
      <c r="Q137" s="364"/>
      <c r="R137" s="364"/>
      <c r="S137" s="367"/>
      <c r="T137" s="363"/>
      <c r="U137" s="364"/>
      <c r="V137" s="364"/>
      <c r="W137" s="365"/>
      <c r="X137" s="170" t="s">
        <v>249</v>
      </c>
    </row>
    <row r="138" spans="1:38" s="47" customFormat="1" x14ac:dyDescent="0.25">
      <c r="A138" s="119" t="s">
        <v>365</v>
      </c>
      <c r="B138" s="262">
        <v>66</v>
      </c>
      <c r="C138" s="361"/>
      <c r="D138" s="361" t="s">
        <v>136</v>
      </c>
      <c r="E138" s="362" t="s">
        <v>31</v>
      </c>
      <c r="F138" s="351" t="s">
        <v>377</v>
      </c>
      <c r="G138" s="368">
        <v>40</v>
      </c>
      <c r="H138" s="369" t="s">
        <v>378</v>
      </c>
      <c r="I138" s="370" t="s">
        <v>131</v>
      </c>
      <c r="J138" s="371"/>
      <c r="K138" s="372"/>
      <c r="L138" s="372"/>
      <c r="M138" s="373"/>
      <c r="N138" s="374"/>
      <c r="O138" s="372"/>
      <c r="P138" s="374"/>
      <c r="Q138" s="372"/>
      <c r="R138" s="372"/>
      <c r="S138" s="375"/>
      <c r="T138" s="371">
        <v>1</v>
      </c>
      <c r="U138" s="372"/>
      <c r="V138" s="372"/>
      <c r="W138" s="373"/>
      <c r="X138" s="370" t="s">
        <v>132</v>
      </c>
      <c r="Y138" s="1"/>
    </row>
    <row r="139" spans="1:38" s="47" customFormat="1" ht="13.8" thickBot="1" x14ac:dyDescent="0.3">
      <c r="A139" s="30"/>
      <c r="B139" s="121"/>
      <c r="C139" s="271"/>
      <c r="D139" s="120"/>
      <c r="E139" s="121"/>
      <c r="F139" s="122"/>
      <c r="G139" s="356"/>
      <c r="H139" s="183"/>
      <c r="I139" s="376"/>
      <c r="J139" s="377"/>
      <c r="K139" s="378"/>
      <c r="L139" s="379"/>
      <c r="M139" s="380"/>
      <c r="N139" s="381"/>
      <c r="O139" s="382"/>
      <c r="P139" s="379"/>
      <c r="Q139" s="378"/>
      <c r="R139" s="378"/>
      <c r="S139" s="383"/>
      <c r="T139" s="384"/>
      <c r="U139" s="385"/>
      <c r="V139" s="385"/>
      <c r="W139" s="383"/>
      <c r="X139" s="386" t="s">
        <v>379</v>
      </c>
    </row>
    <row r="140" spans="1:38" s="47" customFormat="1" ht="13.8" thickBot="1" x14ac:dyDescent="0.3">
      <c r="A140" s="387"/>
      <c r="B140" s="388"/>
      <c r="C140" s="389"/>
      <c r="D140" s="388"/>
      <c r="E140" s="388"/>
      <c r="F140" s="388"/>
      <c r="G140" s="390"/>
      <c r="H140" s="391"/>
      <c r="I140" s="392" t="s">
        <v>380</v>
      </c>
      <c r="J140" s="393">
        <f t="shared" ref="J140:W140" si="0">SUM(J7:J139)</f>
        <v>4</v>
      </c>
      <c r="K140" s="393">
        <f t="shared" si="0"/>
        <v>2</v>
      </c>
      <c r="L140" s="394">
        <f t="shared" si="0"/>
        <v>5</v>
      </c>
      <c r="M140" s="395">
        <f t="shared" si="0"/>
        <v>0</v>
      </c>
      <c r="N140" s="396">
        <f t="shared" si="0"/>
        <v>10</v>
      </c>
      <c r="O140" s="397">
        <f t="shared" si="0"/>
        <v>1</v>
      </c>
      <c r="P140" s="398">
        <f t="shared" si="0"/>
        <v>26</v>
      </c>
      <c r="Q140" s="393">
        <f t="shared" si="0"/>
        <v>47</v>
      </c>
      <c r="R140" s="394">
        <f t="shared" si="0"/>
        <v>15</v>
      </c>
      <c r="S140" s="393">
        <f t="shared" si="0"/>
        <v>0</v>
      </c>
      <c r="T140" s="398">
        <f t="shared" si="0"/>
        <v>52</v>
      </c>
      <c r="U140" s="393">
        <f t="shared" si="0"/>
        <v>60</v>
      </c>
      <c r="V140" s="394">
        <f t="shared" si="0"/>
        <v>25</v>
      </c>
      <c r="W140" s="393">
        <f t="shared" si="0"/>
        <v>0</v>
      </c>
      <c r="X140" s="399"/>
    </row>
    <row r="141" spans="1:38" s="47" customFormat="1" ht="13.8" thickBot="1" x14ac:dyDescent="0.3">
      <c r="A141" s="400" t="s">
        <v>381</v>
      </c>
      <c r="B141" s="401"/>
      <c r="C141" s="401"/>
      <c r="D141" s="401"/>
      <c r="E141" s="401"/>
      <c r="F141" s="401"/>
      <c r="G141" s="402"/>
      <c r="H141" s="453" t="s">
        <v>382</v>
      </c>
      <c r="I141" s="454"/>
      <c r="J141" s="403"/>
      <c r="K141" s="405">
        <f>J140+K140+L140+M140</f>
        <v>11</v>
      </c>
      <c r="L141" s="405"/>
      <c r="M141" s="405"/>
      <c r="N141" s="455">
        <f>SUM(N140:O140)</f>
        <v>11</v>
      </c>
      <c r="O141" s="456"/>
      <c r="P141" s="405"/>
      <c r="Q141" s="405">
        <f>P140+Q140+R140+S140</f>
        <v>88</v>
      </c>
      <c r="R141" s="405"/>
      <c r="S141" s="404"/>
      <c r="T141" s="405"/>
      <c r="U141" s="405">
        <f>T140+U140+V140+W140</f>
        <v>137</v>
      </c>
      <c r="V141" s="405"/>
      <c r="W141" s="405"/>
      <c r="X141" s="406" t="s">
        <v>379</v>
      </c>
    </row>
    <row r="142" spans="1:38" s="47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38" s="47" customFormat="1" ht="13.8" thickBot="1" x14ac:dyDescent="0.3">
      <c r="A143" s="1"/>
      <c r="B143" s="1"/>
      <c r="C143" s="1"/>
      <c r="D143" s="407"/>
      <c r="E143" s="1"/>
      <c r="F143" s="1"/>
      <c r="G143" s="1"/>
      <c r="H143" s="1"/>
      <c r="I143" s="1"/>
      <c r="J143" s="407"/>
      <c r="K143" s="1"/>
      <c r="L143" s="1"/>
      <c r="M143" s="1"/>
      <c r="N143" s="1"/>
      <c r="O143" s="1"/>
      <c r="P143" s="1"/>
      <c r="Q143" s="1"/>
      <c r="R143" s="1"/>
      <c r="S143" s="1"/>
      <c r="T143" s="407"/>
      <c r="U143" s="1"/>
      <c r="V143" s="1"/>
      <c r="W143" s="1"/>
      <c r="X143" s="1"/>
    </row>
    <row r="144" spans="1:38" s="47" customFormat="1" ht="13.8" thickBot="1" x14ac:dyDescent="0.3">
      <c r="A144" s="408" t="s">
        <v>383</v>
      </c>
      <c r="B144" s="409"/>
      <c r="C144" s="410"/>
      <c r="D144" s="410"/>
      <c r="E144" s="410"/>
      <c r="F144" s="41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s="47" customFormat="1" ht="13.8" thickBot="1" x14ac:dyDescent="0.3">
      <c r="A145" s="408" t="s">
        <v>384</v>
      </c>
      <c r="B145" s="412" t="s">
        <v>385</v>
      </c>
      <c r="C145" s="413" t="s">
        <v>386</v>
      </c>
      <c r="D145" s="414" t="s">
        <v>387</v>
      </c>
      <c r="E145" s="414" t="s">
        <v>388</v>
      </c>
      <c r="F145" s="415" t="s">
        <v>389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s="47" customFormat="1" x14ac:dyDescent="0.25">
      <c r="A146" s="4"/>
      <c r="B146" s="416"/>
      <c r="C146" s="417"/>
      <c r="D146" s="417">
        <v>1</v>
      </c>
      <c r="E146" s="417">
        <v>9</v>
      </c>
      <c r="F146" s="418">
        <v>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s="47" customFormat="1" ht="13.8" thickBot="1" x14ac:dyDescent="0.3">
      <c r="A147" s="419"/>
      <c r="B147" s="420"/>
      <c r="C147" s="421"/>
      <c r="D147" s="421"/>
      <c r="E147" s="422"/>
      <c r="F147" s="42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s="47" customFormat="1" ht="13.8" thickBot="1" x14ac:dyDescent="0.3">
      <c r="A148" s="424" t="s">
        <v>380</v>
      </c>
      <c r="B148" s="457">
        <f>SUM(B146:F146)</f>
        <v>15</v>
      </c>
      <c r="C148" s="458"/>
      <c r="D148" s="458"/>
      <c r="E148" s="458"/>
      <c r="F148" s="458"/>
      <c r="G148" s="45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s="47" customFormat="1" ht="13.2" customHeight="1" thickBot="1" x14ac:dyDescent="0.3">
      <c r="A149" s="3"/>
      <c r="B149" s="425"/>
      <c r="C149" s="426"/>
      <c r="D149" s="427"/>
      <c r="E149" s="426"/>
      <c r="F149" s="428"/>
      <c r="G149" s="42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s="47" customFormat="1" ht="13.2" customHeight="1" thickBot="1" x14ac:dyDescent="0.3">
      <c r="A150" s="408" t="s">
        <v>390</v>
      </c>
      <c r="B150" s="412" t="s">
        <v>26</v>
      </c>
      <c r="C150" s="429" t="s">
        <v>27</v>
      </c>
      <c r="D150" s="430"/>
      <c r="E150" s="1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s="47" customFormat="1" x14ac:dyDescent="0.25">
      <c r="A151" s="431" t="s">
        <v>391</v>
      </c>
      <c r="B151" s="432">
        <v>6</v>
      </c>
      <c r="C151" s="433"/>
      <c r="D151" s="434"/>
      <c r="E151" s="3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s="47" customFormat="1" x14ac:dyDescent="0.25">
      <c r="A152" s="435" t="s">
        <v>392</v>
      </c>
      <c r="B152" s="436">
        <v>2</v>
      </c>
      <c r="C152" s="437">
        <v>1</v>
      </c>
      <c r="D152" s="434"/>
      <c r="E152" s="3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s="47" customFormat="1" x14ac:dyDescent="0.25">
      <c r="A153" s="435" t="s">
        <v>35</v>
      </c>
      <c r="B153" s="436">
        <v>6</v>
      </c>
      <c r="C153" s="437"/>
      <c r="D153" s="434"/>
      <c r="E153" s="3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s="47" customFormat="1" ht="13.8" thickBot="1" x14ac:dyDescent="0.3">
      <c r="A154" s="438" t="s">
        <v>393</v>
      </c>
      <c r="B154" s="439"/>
      <c r="C154" s="440"/>
      <c r="D154" s="434"/>
      <c r="E154" s="3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s="47" customFormat="1" ht="13.8" thickBot="1" x14ac:dyDescent="0.3">
      <c r="A155" s="441" t="s">
        <v>380</v>
      </c>
      <c r="B155" s="442">
        <f>SUM(B151:B154)</f>
        <v>14</v>
      </c>
      <c r="C155" s="443">
        <f>SUM(C151:C154)</f>
        <v>1</v>
      </c>
      <c r="D155" s="444"/>
      <c r="E155" s="444"/>
      <c r="F155" s="44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s="47" customFormat="1" ht="13.8" thickBot="1" x14ac:dyDescent="0.3">
      <c r="A156" s="445" t="s">
        <v>382</v>
      </c>
      <c r="B156" s="460">
        <f>SUM(B155+C155)</f>
        <v>15</v>
      </c>
      <c r="C156" s="461"/>
      <c r="D156" s="462"/>
      <c r="E156" s="3"/>
      <c r="F156" s="3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s="47" customFormat="1" ht="13.8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s="47" customFormat="1" ht="13.8" thickBot="1" x14ac:dyDescent="0.3">
      <c r="A158" s="463" t="s">
        <v>394</v>
      </c>
      <c r="B158" s="446" t="s">
        <v>395</v>
      </c>
      <c r="C158" s="446" t="s">
        <v>25</v>
      </c>
      <c r="D158" s="446" t="s">
        <v>117</v>
      </c>
      <c r="E158" s="446" t="s">
        <v>396</v>
      </c>
      <c r="F158" s="447" t="s">
        <v>397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s="47" customFormat="1" x14ac:dyDescent="0.25">
      <c r="A159" s="464"/>
      <c r="B159" s="448">
        <v>14</v>
      </c>
      <c r="C159" s="448"/>
      <c r="D159" s="448">
        <v>1</v>
      </c>
      <c r="E159" s="448"/>
      <c r="F159" s="44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s="47" customFormat="1" ht="13.8" thickBot="1" x14ac:dyDescent="0.3">
      <c r="A160" s="465"/>
      <c r="B160" s="450"/>
      <c r="C160" s="450"/>
      <c r="D160" s="450"/>
      <c r="E160" s="450"/>
      <c r="F160" s="45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s="47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s="47" customFormat="1" ht="13.9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s="47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s="47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s="47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s="47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s="47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s="47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s="47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s="47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s="47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s="47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s="47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s="47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s="47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s="47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s="47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s="47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s="47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s="47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s="47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s="47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s="47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s="47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s="47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s="47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s="47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s="47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s="47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s="47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s="47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s="47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s="47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s="47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s="47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s="47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s="46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s="46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s="46" customFormat="1" ht="13.9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s="46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s="47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s="47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s="47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5" spans="1:24" s="46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s="47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10" spans="1:24" s="46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s="46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s="46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s="46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s="46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s="46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s="46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s="46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s="46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s="47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s="46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s="46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s="46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s="46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s="46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s="46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s="46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s="46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s="46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s="46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s="47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s="46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s="46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s="46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s="46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s="46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s="46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s="46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s="46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s="46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s="47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s="47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s="47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s="46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s="46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s="46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s="47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s="46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s="46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s="46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s="46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s="47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s="47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s="47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5" spans="1:24" s="47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s="47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s="47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s="47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s="47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s="47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s="46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s="46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s="46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s="46" customForma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s="46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s="47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s="47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s="46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s="47" customForma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s="47" customForma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s="47" customForma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s="47" customForma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s="47" customForma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5" spans="1:24" s="47" customForma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s="47" customForma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s="47" customForma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s="47" customForma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s="47" customForma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s="47" customForma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s="47" customForma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s="47" customForma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s="47" customForma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s="47" customForma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s="47" customForma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s="47" customForma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s="47" customForma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s="47" customForma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s="47" customForma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s="47" customForma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s="47" customForma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s="47" customForma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s="452" customForma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5" spans="1:24" s="47" customForma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s="47" customForma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s="47" customForma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s="47" customForma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s="47" customForma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s="47" customForma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s="47" customForma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s="47" customForma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s="47" customForma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s="47" customForma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s="47" customForma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s="47" customForma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s="47" customForma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s="47" customForma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s="47" customForma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s="47" customForma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s="47" customForma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s="47" customForma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s="47" customForma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s="47" customForma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s="47" customForma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s="47" customForma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s="47" customForma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s="47" customForma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s="47" customForma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s="47" customForma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s="47" customForma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s="47" customForma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s="47" customForma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s="47" customForma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s="47" customForma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s="47" customForma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s="47" customForma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s="47" customForma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s="47" customForma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s="47" customForma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s="47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s="47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s="47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s="47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s="47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s="47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s="47" customForma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s="47" customForma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s="47" customForma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s="47" customForma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s="47" customForma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s="47" customForma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s="47" customForma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s="46" customForma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s="46" customForma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s="47" customForma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s="47" customForma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s="47" customForma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s="47" customForma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s="47" customForma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s="47" customForma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s="47" customForma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s="47" customForma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s="47" customForma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s="47" customForma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s="47" customForma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s="47" customForma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s="47" customForma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s="47" customForma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s="47" customForma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s="47" customForma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s="47" customForma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s="47" customForma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s="47" customForma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6" spans="1:24" s="47" customForma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s="47" customForma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s="47" customForma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s="47" customForma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s="47" customForma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s="47" customForma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s="47" customForma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s="47" customForma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s="47" customForma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s="47" customForma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s="47" customForma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s="47" customForma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s="47" customForma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s="47" customForma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s="47" customForma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s="47" customForma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s="47" customForma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4" spans="1:24" s="47" customForma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s="47" customForma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s="47" customForma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s="47" customForma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s="47" customForma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s="47" customForma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s="47" customForma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s="47" customForma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s="47" customForma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s="47" customForma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s="47" customForma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s="47" customForma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s="47" customForma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s="47" customForma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s="47" customForma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s="47" customForma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s="47" customForma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s="47" customForma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s="47" customForma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s="47" customForma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s="47" customForma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12" spans="1:24" s="46" customForma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s="46" customForma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s="46" customForma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s="46" customForma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s="46" customForma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s="46" customForma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s="46" customForma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s="46" customForma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s="46" customForma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s="46" customForma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s="46" customForma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s="46" customForma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s="46" customForma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s="46" customForma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s="46" customForma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s="46" customForma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s="46" customForma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s="46" customForma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</sheetData>
  <mergeCells count="11">
    <mergeCell ref="N5:O5"/>
    <mergeCell ref="A1:D1"/>
    <mergeCell ref="F1:K1"/>
    <mergeCell ref="R1:X1"/>
    <mergeCell ref="A3:B3"/>
    <mergeCell ref="A4:F4"/>
    <mergeCell ref="H141:I141"/>
    <mergeCell ref="N141:O141"/>
    <mergeCell ref="B148:G148"/>
    <mergeCell ref="B156:D156"/>
    <mergeCell ref="A158:A1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EHLANZENI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2026-08-03T21:25:01Z</dcterms:created>
  <dcterms:modified xsi:type="dcterms:W3CDTF">2026-08-26T11:23:52Z</dcterms:modified>
</cp:coreProperties>
</file>